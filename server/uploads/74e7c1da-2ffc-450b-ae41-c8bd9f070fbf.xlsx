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5808C896-2DA1-E342-A88E-69E1DE168CBC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SP Invoice Report" sheetId="3" r:id="rId1"/>
    <sheet name="HO dat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8" i="4" l="1"/>
  <c r="AU7" i="4"/>
  <c r="AU6" i="4"/>
  <c r="AU5" i="4"/>
  <c r="AU4" i="4"/>
  <c r="AU3" i="4"/>
</calcChain>
</file>

<file path=xl/sharedStrings.xml><?xml version="1.0" encoding="utf-8"?>
<sst xmlns="http://schemas.openxmlformats.org/spreadsheetml/2006/main" count="492" uniqueCount="169">
  <si>
    <t>GBP</t>
  </si>
  <si>
    <t>26/05/2025</t>
  </si>
  <si>
    <t>08/06/2025</t>
  </si>
  <si>
    <t>VENDOR_API</t>
  </si>
  <si>
    <t>Yes</t>
  </si>
  <si>
    <t>-3.54</t>
  </si>
  <si>
    <t>18/06/2025</t>
  </si>
  <si>
    <t>-1.24%</t>
  </si>
  <si>
    <t/>
  </si>
  <si>
    <t>8.05</t>
  </si>
  <si>
    <t>20/06/2025</t>
  </si>
  <si>
    <t>22.49%</t>
  </si>
  <si>
    <t>MANUAL</t>
  </si>
  <si>
    <t>beId</t>
  </si>
  <si>
    <t>__EMPTY</t>
  </si>
  <si>
    <t>persons</t>
  </si>
  <si>
    <t>netPrice</t>
  </si>
  <si>
    <t>totalPax</t>
  </si>
  <si>
    <t>Ticket ID</t>
  </si>
  <si>
    <t>__EMPTY_1</t>
  </si>
  <si>
    <t>__EMPTY_2</t>
  </si>
  <si>
    <t>bookingId</t>
  </si>
  <si>
    <t>customerName</t>
  </si>
  <si>
    <t>fulfilmentDate</t>
  </si>
  <si>
    <t>Billing Currency</t>
  </si>
  <si>
    <t>spBookingRefNumber</t>
  </si>
  <si>
    <t>SP Net (HO Currency)</t>
  </si>
  <si>
    <t>FX Rate Used</t>
  </si>
  <si>
    <t>76.00</t>
  </si>
  <si>
    <t>1.00</t>
  </si>
  <si>
    <t>22.09</t>
  </si>
  <si>
    <t>49.00</t>
  </si>
  <si>
    <t>55.50</t>
  </si>
  <si>
    <t>288.54</t>
  </si>
  <si>
    <t>27.75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</si>
  <si>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</si>
  <si>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</si>
  <si>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</si>
  <si>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</si>
  <si>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</si>
  <si>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</si>
  <si>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</si>
  <si>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</si>
  <si>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</si>
  <si>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</si>
  <si>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</si>
  <si>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</si>
  <si>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</si>
  <si>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</si>
  <si>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</si>
  <si>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</si>
  <si>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</si>
  <si>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</si>
  <si>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</si>
  <si>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</si>
  <si>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</si>
  <si>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</si>
  <si>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</si>
  <si>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</si>
  <si>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</si>
  <si>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</si>
  <si>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</si>
  <si>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</si>
  <si>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</si>
  <si>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</si>
  <si>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</si>
  <si>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</si>
  <si>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</si>
  <si>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</si>
  <si>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</si>
  <si>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 xml:space="preserve">Price sync </t>
  </si>
  <si>
    <t xml:space="preserve">Cancellable </t>
  </si>
  <si>
    <t>Cancellation Insurance</t>
  </si>
  <si>
    <t>BNPL</t>
  </si>
  <si>
    <t>Ticket id</t>
  </si>
  <si>
    <t>Total Amount payable</t>
  </si>
  <si>
    <t>Amount paid tll date</t>
  </si>
  <si>
    <t>Net price payable</t>
  </si>
  <si>
    <t>Disputed amount</t>
  </si>
  <si>
    <t>Dispute adjustment</t>
  </si>
  <si>
    <t>Dispute adjusted total</t>
  </si>
  <si>
    <t>Discrepancy amount</t>
  </si>
  <si>
    <t>Final Discrepancy Total</t>
  </si>
  <si>
    <t>Adjusted in Ticket ID</t>
  </si>
  <si>
    <t>Dispute status</t>
  </si>
  <si>
    <t>Reconciled Net price</t>
  </si>
  <si>
    <t>UTR no.</t>
  </si>
  <si>
    <t>Date of Payment</t>
  </si>
  <si>
    <t>SP Net</t>
  </si>
  <si>
    <t>Difference</t>
  </si>
  <si>
    <t>Difference %</t>
  </si>
  <si>
    <t>reconciliation_18762337223730</t>
  </si>
  <si>
    <t>11/12/2025</t>
  </si>
  <si>
    <t>SUCCESS</t>
  </si>
  <si>
    <t>Tower of London Tickets</t>
  </si>
  <si>
    <t>Axis and Globe</t>
  </si>
  <si>
    <t>Axis and Globe_HRP</t>
  </si>
  <si>
    <t>INVOICE_SP</t>
  </si>
  <si>
    <t>Caron Shelly</t>
  </si>
  <si>
    <t>{_x000D_
"totalCount": 2,_x000D_
"personList": [{_x000D_
"count": 2,_x000D_
"type": "ADULT",_x000D_
"priceNet": 27.74_x000D_
}]_x000D_
}</t>
  </si>
  <si>
    <t>DATE_OF_EXPERIENCE</t>
  </si>
  <si>
    <t>TODO</t>
  </si>
  <si>
    <t>RECONCILIATION_STATUS_AUTO_RECONCILED</t>
  </si>
  <si>
    <t>RECON</t>
  </si>
  <si>
    <t>2025-05-26T16:26:49.000Z</t>
  </si>
  <si>
    <t>08/01/2026</t>
  </si>
  <si>
    <t>71.60</t>
  </si>
  <si>
    <t>55.48</t>
  </si>
  <si>
    <t>{_x000D_
}</t>
  </si>
  <si>
    <t>COMPLETED</t>
  </si>
  <si>
    <t>FALSE</t>
  </si>
  <si>
    <t>Price Mismatch</t>
  </si>
  <si>
    <t>Negative Variance</t>
  </si>
  <si>
    <t>Reconciliation auto reconciled</t>
  </si>
  <si>
    <t>7569</t>
  </si>
  <si>
    <t>20.52</t>
  </si>
  <si>
    <t>OPEN</t>
  </si>
  <si>
    <t>-20.52</t>
  </si>
  <si>
    <t>-36.99%</t>
  </si>
  <si>
    <t>reconciliation_960887382020578</t>
  </si>
  <si>
    <t>02/06/2025</t>
  </si>
  <si>
    <t>Iola Coxshall</t>
  </si>
  <si>
    <t>{_x000D_
"totalCount": 1,_x000D_
"personList": [{_x000D_
"count": 1,_x000D_
"type": "SENIOR",_x000D_
"priceNet": 22.09_x000D_
}]_x000D_
}</t>
  </si>
  <si>
    <t>2025-06-02T13:54:21.999Z</t>
  </si>
  <si>
    <t>28.50</t>
  </si>
  <si>
    <t>28.00</t>
  </si>
  <si>
    <t>Positive Variance</t>
  </si>
  <si>
    <t>5.91</t>
  </si>
  <si>
    <t>21.11%</t>
  </si>
  <si>
    <t>reconciliation_1504498143192805</t>
  </si>
  <si>
    <t>05/12/2025</t>
  </si>
  <si>
    <t>Suely Maria de Souza Araujo Menezes</t>
  </si>
  <si>
    <t>{_x000D_
"totalCount": 2,_x000D_
"personList": [{_x000D_
"count": 2,_x000D_
"type": "SENIOR",_x000D_
"priceNet": 22.09_x000D_
}]_x000D_
}</t>
  </si>
  <si>
    <t>2025-06-08T20:54:33.000Z</t>
  </si>
  <si>
    <t>57.00</t>
  </si>
  <si>
    <t>44.18</t>
  </si>
  <si>
    <t>4.82</t>
  </si>
  <si>
    <t>-4.82</t>
  </si>
  <si>
    <t>-10.91%</t>
  </si>
  <si>
    <t>reconciliation_198558732654916</t>
  </si>
  <si>
    <t>junia de castro padrao</t>
  </si>
  <si>
    <t>2025-06-08T20:54:59.000Z</t>
  </si>
  <si>
    <t>Reconciled</t>
  </si>
  <si>
    <t>-0.02</t>
  </si>
  <si>
    <t>-0.04%</t>
  </si>
  <si>
    <t>reconciliation_158593961092145</t>
  </si>
  <si>
    <t>13/12/2025</t>
  </si>
  <si>
    <t>London Eye - Champagne Experience - Peak (0 Day+)</t>
  </si>
  <si>
    <t>Axis and Globe_API_Super Peak</t>
  </si>
  <si>
    <t>Lekvad Travel_Master Card</t>
  </si>
  <si>
    <t>{_x000D_
"totalCount": 6,_x000D_
"personList": [{_x000D_
"count": 6,_x000D_
"type": "ADULT",_x000D_
"priceNet": 47.5_x000D_
}]_x000D_
}</t>
  </si>
  <si>
    <t>RECONCILIATION_STATUS_DISCREPANCY</t>
  </si>
  <si>
    <t>2025-06-18T13:33:02.000Z</t>
  </si>
  <si>
    <t>354.00</t>
  </si>
  <si>
    <t>285.00</t>
  </si>
  <si>
    <t>Net price discrepancy</t>
  </si>
  <si>
    <t>reconciliation_189937869007419</t>
  </si>
  <si>
    <t>07/12/2025</t>
  </si>
  <si>
    <t>Tower of London Entry Ticket + Thames River Cruise</t>
  </si>
  <si>
    <t>Megan Sorenson</t>
  </si>
  <si>
    <t>{_x000D_
"totalCount": 1,_x000D_
"personList": [{_x000D_
"count": 1,_x000D_
"type": "ADULT",_x000D_
"priceNet": 35.8_x000D_
}]_x000D_
}</t>
  </si>
  <si>
    <t>2025-06-20T14:10:36.000Z</t>
  </si>
  <si>
    <t>63.61</t>
  </si>
  <si>
    <t>35.80</t>
  </si>
  <si>
    <t>Duplicate Fulfillment</t>
  </si>
  <si>
    <t>reconciliation_194648779201887</t>
  </si>
  <si>
    <t>R7WT7DV/ 175042863699452</t>
  </si>
  <si>
    <t>2025-06-20T15:29:07.000Z</t>
  </si>
  <si>
    <t>BizOps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</si>
</sst>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/>
  </sheetViews>
  <sheetFormatPr baseColWidth="10" defaultRowHeight="16" x14ac:dyDescent="0.2"/>
  <sheetData>
    <row r="1" spans="1:15" ht="15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</row>
    <row r="2" spans="1:15" ht="15" x14ac:dyDescent="0.2">
      <c r="A2" s="2">
        <v>83</v>
      </c>
      <c r="B2" s="2" t="s">
        <v>8</v>
      </c>
      <c r="C2" s="2" t="s">
        <v>8</v>
      </c>
      <c r="D2" s="3" t="s">
        <v>28</v>
      </c>
      <c r="E2" s="2" t="s">
        <v>8</v>
      </c>
      <c r="F2" s="2">
        <v>7569</v>
      </c>
      <c r="G2" s="2" t="s">
        <v>8</v>
      </c>
      <c r="H2" s="2" t="s">
        <v>8</v>
      </c>
      <c r="I2" s="2">
        <v>25183238</v>
      </c>
      <c r="J2" s="2" t="s">
        <v>8</v>
      </c>
      <c r="K2" s="2" t="s">
        <v>8</v>
      </c>
      <c r="L2" s="2" t="s">
        <v>0</v>
      </c>
      <c r="M2" s="2" t="s">
        <v>8</v>
      </c>
      <c r="N2" s="3" t="s">
        <v>28</v>
      </c>
      <c r="O2" s="3" t="s">
        <v>29</v>
      </c>
    </row>
    <row r="3" spans="1:15" ht="15" x14ac:dyDescent="0.2">
      <c r="A3" s="2">
        <v>83</v>
      </c>
      <c r="B3" s="2" t="s">
        <v>8</v>
      </c>
      <c r="C3" s="2" t="s">
        <v>8</v>
      </c>
      <c r="D3" s="3" t="s">
        <v>30</v>
      </c>
      <c r="E3" s="2" t="s">
        <v>8</v>
      </c>
      <c r="F3" s="2">
        <v>7569</v>
      </c>
      <c r="G3" s="2" t="s">
        <v>8</v>
      </c>
      <c r="H3" s="2" t="s">
        <v>8</v>
      </c>
      <c r="I3" s="2">
        <v>25312926</v>
      </c>
      <c r="J3" s="2" t="s">
        <v>8</v>
      </c>
      <c r="K3" s="2" t="s">
        <v>8</v>
      </c>
      <c r="L3" s="2" t="s">
        <v>0</v>
      </c>
      <c r="M3" s="2" t="s">
        <v>8</v>
      </c>
      <c r="N3" s="3" t="s">
        <v>30</v>
      </c>
      <c r="O3" s="3" t="s">
        <v>29</v>
      </c>
    </row>
    <row r="4" spans="1:15" ht="15" x14ac:dyDescent="0.2">
      <c r="A4" s="2">
        <v>83</v>
      </c>
      <c r="B4" s="2" t="s">
        <v>8</v>
      </c>
      <c r="C4" s="2" t="s">
        <v>8</v>
      </c>
      <c r="D4" s="3" t="s">
        <v>31</v>
      </c>
      <c r="E4" s="2" t="s">
        <v>8</v>
      </c>
      <c r="F4" s="2">
        <v>7569</v>
      </c>
      <c r="G4" s="2" t="s">
        <v>8</v>
      </c>
      <c r="H4" s="2" t="s">
        <v>8</v>
      </c>
      <c r="I4" s="2">
        <v>25437183</v>
      </c>
      <c r="J4" s="2" t="s">
        <v>8</v>
      </c>
      <c r="K4" s="2" t="s">
        <v>8</v>
      </c>
      <c r="L4" s="2" t="s">
        <v>0</v>
      </c>
      <c r="M4" s="2" t="s">
        <v>8</v>
      </c>
      <c r="N4" s="3" t="s">
        <v>31</v>
      </c>
      <c r="O4" s="3" t="s">
        <v>29</v>
      </c>
    </row>
    <row r="5" spans="1:15" ht="15" x14ac:dyDescent="0.2">
      <c r="A5" s="2">
        <v>83</v>
      </c>
      <c r="B5" s="2" t="s">
        <v>8</v>
      </c>
      <c r="C5" s="2" t="s">
        <v>8</v>
      </c>
      <c r="D5" s="3" t="s">
        <v>32</v>
      </c>
      <c r="E5" s="2" t="s">
        <v>8</v>
      </c>
      <c r="F5" s="2">
        <v>7569</v>
      </c>
      <c r="G5" s="2" t="s">
        <v>8</v>
      </c>
      <c r="H5" s="2" t="s">
        <v>8</v>
      </c>
      <c r="I5" s="2">
        <v>25437184</v>
      </c>
      <c r="J5" s="2" t="s">
        <v>8</v>
      </c>
      <c r="K5" s="2" t="s">
        <v>8</v>
      </c>
      <c r="L5" s="2" t="s">
        <v>0</v>
      </c>
      <c r="M5" s="2" t="s">
        <v>8</v>
      </c>
      <c r="N5" s="3" t="s">
        <v>32</v>
      </c>
      <c r="O5" s="3" t="s">
        <v>29</v>
      </c>
    </row>
    <row r="6" spans="1:15" ht="15" x14ac:dyDescent="0.2">
      <c r="A6" s="2">
        <v>83</v>
      </c>
      <c r="B6" s="2" t="s">
        <v>8</v>
      </c>
      <c r="C6" s="2" t="s">
        <v>8</v>
      </c>
      <c r="D6" s="3" t="s">
        <v>33</v>
      </c>
      <c r="E6" s="2" t="s">
        <v>8</v>
      </c>
      <c r="F6" s="2">
        <v>7569</v>
      </c>
      <c r="G6" s="2" t="s">
        <v>8</v>
      </c>
      <c r="H6" s="2" t="s">
        <v>8</v>
      </c>
      <c r="I6" s="2">
        <v>25605335</v>
      </c>
      <c r="J6" s="2" t="s">
        <v>8</v>
      </c>
      <c r="K6" s="2" t="s">
        <v>8</v>
      </c>
      <c r="L6" s="2" t="s">
        <v>0</v>
      </c>
      <c r="M6" s="2" t="s">
        <v>8</v>
      </c>
      <c r="N6" s="3" t="s">
        <v>33</v>
      </c>
      <c r="O6" s="3" t="s">
        <v>29</v>
      </c>
    </row>
    <row r="7" spans="1:15" ht="15" x14ac:dyDescent="0.2">
      <c r="A7" s="2">
        <v>83</v>
      </c>
      <c r="B7" s="2" t="s">
        <v>8</v>
      </c>
      <c r="C7" s="2" t="s">
        <v>8</v>
      </c>
      <c r="D7" s="3" t="s">
        <v>34</v>
      </c>
      <c r="E7" s="2" t="s">
        <v>8</v>
      </c>
      <c r="F7" s="2">
        <v>7569</v>
      </c>
      <c r="G7" s="2" t="s">
        <v>8</v>
      </c>
      <c r="H7" s="2" t="s">
        <v>8</v>
      </c>
      <c r="I7" s="2">
        <v>25641897</v>
      </c>
      <c r="J7" s="2" t="s">
        <v>8</v>
      </c>
      <c r="K7" s="2" t="s">
        <v>8</v>
      </c>
      <c r="L7" s="2" t="s">
        <v>0</v>
      </c>
      <c r="M7" s="2" t="s">
        <v>8</v>
      </c>
      <c r="N7" s="3" t="s">
        <v>34</v>
      </c>
      <c r="O7" s="3" t="s">
        <v>29</v>
      </c>
    </row>
  </sheetData>
  <pageMargins left="0.7" right="0.7" top="0.75" bottom="0.75" header="0.3" footer="0.3"/>
  <ignoredErrors>
    <ignoredError sqref="A1:O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8"/>
  <sheetViews>
    <sheetView tabSelected="1" topLeftCell="AG1" workbookViewId="0">
      <selection activeCell="AN15" sqref="AN15"/>
    </sheetView>
  </sheetViews>
  <sheetFormatPr baseColWidth="10" defaultRowHeight="16" x14ac:dyDescent="0.2"/>
  <sheetData>
    <row r="1" spans="1:61" ht="15" x14ac:dyDescent="0.2">
      <c r="A1" s="1" t="s">
        <v>35</v>
      </c>
      <c r="B1" s="1" t="s">
        <v>21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13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15</v>
      </c>
      <c r="S1" s="1" t="s">
        <v>50</v>
      </c>
      <c r="T1" s="1" t="s">
        <v>25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16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</row>
    <row r="2" spans="1:61" ht="15" x14ac:dyDescent="0.2">
      <c r="A2" s="2" t="s">
        <v>91</v>
      </c>
      <c r="B2" s="2">
        <v>25183238</v>
      </c>
      <c r="C2" s="2">
        <v>12328851</v>
      </c>
      <c r="D2" s="2" t="s">
        <v>1</v>
      </c>
      <c r="E2" s="2" t="s">
        <v>92</v>
      </c>
      <c r="F2" s="2" t="s">
        <v>93</v>
      </c>
      <c r="G2" s="2">
        <v>3291</v>
      </c>
      <c r="H2" s="2">
        <v>5085</v>
      </c>
      <c r="I2" s="2" t="s">
        <v>94</v>
      </c>
      <c r="J2" s="2" t="s">
        <v>8</v>
      </c>
      <c r="K2" s="2" t="s">
        <v>95</v>
      </c>
      <c r="L2" s="2">
        <v>83</v>
      </c>
      <c r="M2" s="2" t="s">
        <v>96</v>
      </c>
      <c r="N2" s="2">
        <v>4104</v>
      </c>
      <c r="O2" s="2" t="s">
        <v>3</v>
      </c>
      <c r="P2" s="2" t="s">
        <v>97</v>
      </c>
      <c r="Q2" s="2" t="s">
        <v>98</v>
      </c>
      <c r="R2" s="2" t="s">
        <v>99</v>
      </c>
      <c r="S2" s="2" t="s">
        <v>100</v>
      </c>
      <c r="T2" s="2">
        <v>174827681281555</v>
      </c>
      <c r="U2" s="2" t="s">
        <v>101</v>
      </c>
      <c r="V2" s="2" t="s">
        <v>102</v>
      </c>
      <c r="W2" s="2" t="s">
        <v>103</v>
      </c>
      <c r="X2" s="2">
        <v>4</v>
      </c>
      <c r="Y2" s="2" t="s">
        <v>104</v>
      </c>
      <c r="Z2" s="2" t="s">
        <v>105</v>
      </c>
      <c r="AA2" s="2" t="s">
        <v>0</v>
      </c>
      <c r="AB2" s="3" t="s">
        <v>106</v>
      </c>
      <c r="AC2" s="3" t="s">
        <v>107</v>
      </c>
      <c r="AD2" s="2" t="s">
        <v>108</v>
      </c>
      <c r="AE2" s="2" t="b">
        <v>0</v>
      </c>
      <c r="AF2" s="2" t="s">
        <v>109</v>
      </c>
      <c r="AG2" s="2" t="s">
        <v>8</v>
      </c>
      <c r="AH2" s="2" t="s">
        <v>8</v>
      </c>
      <c r="AI2" s="2" t="s">
        <v>110</v>
      </c>
      <c r="AJ2" s="2" t="s">
        <v>8</v>
      </c>
      <c r="AK2" s="2" t="s">
        <v>111</v>
      </c>
      <c r="AL2" s="2" t="s">
        <v>112</v>
      </c>
      <c r="AM2" s="2" t="b">
        <v>0</v>
      </c>
      <c r="AN2" s="2" t="s">
        <v>113</v>
      </c>
      <c r="AO2" s="2" t="s">
        <v>4</v>
      </c>
      <c r="AP2" s="2" t="s">
        <v>8</v>
      </c>
      <c r="AQ2" s="2" t="s">
        <v>8</v>
      </c>
      <c r="AR2" s="2" t="s">
        <v>8</v>
      </c>
      <c r="AS2" s="2" t="s">
        <v>114</v>
      </c>
      <c r="AT2" s="3" t="s">
        <v>28</v>
      </c>
      <c r="AU2" s="2">
        <v>70</v>
      </c>
      <c r="AV2" s="3"/>
      <c r="AW2" s="3" t="s">
        <v>115</v>
      </c>
      <c r="AX2" s="2" t="s">
        <v>8</v>
      </c>
      <c r="AY2" s="2" t="s">
        <v>8</v>
      </c>
      <c r="AZ2" s="2" t="s">
        <v>8</v>
      </c>
      <c r="BA2" s="2" t="s">
        <v>8</v>
      </c>
      <c r="BB2" s="2" t="s">
        <v>8</v>
      </c>
      <c r="BC2" s="2" t="s">
        <v>116</v>
      </c>
      <c r="BD2" s="2" t="s">
        <v>8</v>
      </c>
      <c r="BE2" s="2" t="s">
        <v>8</v>
      </c>
      <c r="BF2" s="2" t="s">
        <v>8</v>
      </c>
      <c r="BG2" s="3" t="s">
        <v>28</v>
      </c>
      <c r="BH2" s="3" t="s">
        <v>117</v>
      </c>
      <c r="BI2" s="2" t="s">
        <v>118</v>
      </c>
    </row>
    <row r="3" spans="1:61" ht="15" x14ac:dyDescent="0.2">
      <c r="A3" s="2" t="s">
        <v>119</v>
      </c>
      <c r="B3" s="2">
        <v>25312926</v>
      </c>
      <c r="C3" s="2">
        <v>12432764</v>
      </c>
      <c r="D3" s="2" t="s">
        <v>120</v>
      </c>
      <c r="E3" s="2" t="s">
        <v>92</v>
      </c>
      <c r="F3" s="2" t="s">
        <v>93</v>
      </c>
      <c r="G3" s="2">
        <v>3291</v>
      </c>
      <c r="H3" s="2">
        <v>5085</v>
      </c>
      <c r="I3" s="2" t="s">
        <v>94</v>
      </c>
      <c r="J3" s="2" t="s">
        <v>8</v>
      </c>
      <c r="K3" s="2" t="s">
        <v>95</v>
      </c>
      <c r="L3" s="2">
        <v>83</v>
      </c>
      <c r="M3" s="2" t="s">
        <v>96</v>
      </c>
      <c r="N3" s="2">
        <v>4104</v>
      </c>
      <c r="O3" s="2" t="s">
        <v>3</v>
      </c>
      <c r="P3" s="2" t="s">
        <v>97</v>
      </c>
      <c r="Q3" s="2" t="s">
        <v>121</v>
      </c>
      <c r="R3" s="2" t="s">
        <v>122</v>
      </c>
      <c r="S3" s="2" t="s">
        <v>100</v>
      </c>
      <c r="T3" s="2">
        <v>174887246332324</v>
      </c>
      <c r="U3" s="2" t="s">
        <v>101</v>
      </c>
      <c r="V3" s="2" t="s">
        <v>102</v>
      </c>
      <c r="W3" s="2" t="s">
        <v>103</v>
      </c>
      <c r="X3" s="2">
        <v>4</v>
      </c>
      <c r="Y3" s="2" t="s">
        <v>123</v>
      </c>
      <c r="Z3" s="2" t="s">
        <v>105</v>
      </c>
      <c r="AA3" s="2" t="s">
        <v>0</v>
      </c>
      <c r="AB3" s="3" t="s">
        <v>124</v>
      </c>
      <c r="AC3" s="3" t="s">
        <v>125</v>
      </c>
      <c r="AD3" s="2" t="s">
        <v>108</v>
      </c>
      <c r="AE3" s="2" t="b">
        <v>0</v>
      </c>
      <c r="AF3" s="2" t="s">
        <v>109</v>
      </c>
      <c r="AG3" s="2" t="s">
        <v>8</v>
      </c>
      <c r="AH3" s="2" t="s">
        <v>8</v>
      </c>
      <c r="AI3" s="2" t="s">
        <v>110</v>
      </c>
      <c r="AJ3" s="2" t="s">
        <v>8</v>
      </c>
      <c r="AK3" s="2" t="s">
        <v>111</v>
      </c>
      <c r="AL3" s="2" t="s">
        <v>126</v>
      </c>
      <c r="AM3" s="2" t="b">
        <v>0</v>
      </c>
      <c r="AN3" s="2" t="s">
        <v>113</v>
      </c>
      <c r="AO3" s="2" t="s">
        <v>4</v>
      </c>
      <c r="AP3" s="2" t="s">
        <v>8</v>
      </c>
      <c r="AQ3" s="2" t="s">
        <v>8</v>
      </c>
      <c r="AR3" s="2" t="s">
        <v>8</v>
      </c>
      <c r="AS3" s="2" t="s">
        <v>114</v>
      </c>
      <c r="AT3" s="3" t="s">
        <v>30</v>
      </c>
      <c r="AU3" s="3" t="str">
        <f>AT3</f>
        <v>22.09</v>
      </c>
      <c r="AV3" s="3"/>
      <c r="AW3" s="2" t="s">
        <v>8</v>
      </c>
      <c r="AX3" s="2" t="s">
        <v>8</v>
      </c>
      <c r="AY3" s="2" t="s">
        <v>8</v>
      </c>
      <c r="AZ3" s="2" t="s">
        <v>8</v>
      </c>
      <c r="BA3" s="2" t="s">
        <v>8</v>
      </c>
      <c r="BB3" s="2" t="s">
        <v>8</v>
      </c>
      <c r="BC3" s="2" t="s">
        <v>8</v>
      </c>
      <c r="BD3" s="2" t="s">
        <v>8</v>
      </c>
      <c r="BE3" s="2" t="s">
        <v>8</v>
      </c>
      <c r="BF3" s="2" t="s">
        <v>8</v>
      </c>
      <c r="BG3" s="3" t="s">
        <v>30</v>
      </c>
      <c r="BH3" s="3" t="s">
        <v>127</v>
      </c>
      <c r="BI3" s="2" t="s">
        <v>128</v>
      </c>
    </row>
    <row r="4" spans="1:61" ht="15" x14ac:dyDescent="0.2">
      <c r="A4" s="2" t="s">
        <v>129</v>
      </c>
      <c r="B4" s="2">
        <v>25437183</v>
      </c>
      <c r="C4" s="2">
        <v>12530873</v>
      </c>
      <c r="D4" s="2" t="s">
        <v>2</v>
      </c>
      <c r="E4" s="2" t="s">
        <v>130</v>
      </c>
      <c r="F4" s="2" t="s">
        <v>93</v>
      </c>
      <c r="G4" s="2">
        <v>3291</v>
      </c>
      <c r="H4" s="2">
        <v>5085</v>
      </c>
      <c r="I4" s="2" t="s">
        <v>94</v>
      </c>
      <c r="J4" s="2" t="s">
        <v>8</v>
      </c>
      <c r="K4" s="2" t="s">
        <v>95</v>
      </c>
      <c r="L4" s="2">
        <v>83</v>
      </c>
      <c r="M4" s="2" t="s">
        <v>96</v>
      </c>
      <c r="N4" s="2">
        <v>4104</v>
      </c>
      <c r="O4" s="2" t="s">
        <v>3</v>
      </c>
      <c r="P4" s="2" t="s">
        <v>97</v>
      </c>
      <c r="Q4" s="2" t="s">
        <v>131</v>
      </c>
      <c r="R4" s="2" t="s">
        <v>132</v>
      </c>
      <c r="S4" s="2" t="s">
        <v>100</v>
      </c>
      <c r="T4" s="2">
        <v>174941607427844</v>
      </c>
      <c r="U4" s="2" t="s">
        <v>101</v>
      </c>
      <c r="V4" s="2" t="s">
        <v>102</v>
      </c>
      <c r="W4" s="2" t="s">
        <v>103</v>
      </c>
      <c r="X4" s="2">
        <v>4</v>
      </c>
      <c r="Y4" s="2" t="s">
        <v>133</v>
      </c>
      <c r="Z4" s="2" t="s">
        <v>105</v>
      </c>
      <c r="AA4" s="2" t="s">
        <v>0</v>
      </c>
      <c r="AB4" s="3" t="s">
        <v>134</v>
      </c>
      <c r="AC4" s="3" t="s">
        <v>135</v>
      </c>
      <c r="AD4" s="2" t="s">
        <v>108</v>
      </c>
      <c r="AE4" s="2" t="b">
        <v>0</v>
      </c>
      <c r="AF4" s="2" t="s">
        <v>109</v>
      </c>
      <c r="AG4" s="2" t="s">
        <v>8</v>
      </c>
      <c r="AH4" s="2" t="s">
        <v>8</v>
      </c>
      <c r="AI4" s="2" t="s">
        <v>110</v>
      </c>
      <c r="AJ4" s="2" t="s">
        <v>8</v>
      </c>
      <c r="AK4" s="2" t="s">
        <v>111</v>
      </c>
      <c r="AL4" s="2" t="s">
        <v>112</v>
      </c>
      <c r="AM4" s="2" t="b">
        <v>0</v>
      </c>
      <c r="AN4" s="2" t="s">
        <v>113</v>
      </c>
      <c r="AO4" s="2" t="s">
        <v>4</v>
      </c>
      <c r="AP4" s="2" t="s">
        <v>8</v>
      </c>
      <c r="AQ4" s="2" t="s">
        <v>8</v>
      </c>
      <c r="AR4" s="2" t="s">
        <v>8</v>
      </c>
      <c r="AS4" s="2" t="s">
        <v>114</v>
      </c>
      <c r="AT4" s="3" t="s">
        <v>31</v>
      </c>
      <c r="AU4" s="3" t="str">
        <f t="shared" ref="AU4:AU8" si="0">AT4</f>
        <v>49.00</v>
      </c>
      <c r="AV4" s="3"/>
      <c r="AW4" s="3" t="s">
        <v>136</v>
      </c>
      <c r="AX4" s="2" t="s">
        <v>8</v>
      </c>
      <c r="AY4" s="2" t="s">
        <v>8</v>
      </c>
      <c r="AZ4" s="2" t="s">
        <v>8</v>
      </c>
      <c r="BA4" s="2" t="s">
        <v>8</v>
      </c>
      <c r="BB4" s="2" t="s">
        <v>8</v>
      </c>
      <c r="BC4" s="2" t="s">
        <v>116</v>
      </c>
      <c r="BD4" s="2" t="s">
        <v>8</v>
      </c>
      <c r="BE4" s="2" t="s">
        <v>8</v>
      </c>
      <c r="BF4" s="2" t="s">
        <v>8</v>
      </c>
      <c r="BG4" s="3" t="s">
        <v>31</v>
      </c>
      <c r="BH4" s="3" t="s">
        <v>137</v>
      </c>
      <c r="BI4" s="2" t="s">
        <v>138</v>
      </c>
    </row>
    <row r="5" spans="1:61" ht="15" x14ac:dyDescent="0.2">
      <c r="A5" s="2" t="s">
        <v>139</v>
      </c>
      <c r="B5" s="2">
        <v>25437184</v>
      </c>
      <c r="C5" s="2">
        <v>12530879</v>
      </c>
      <c r="D5" s="2" t="s">
        <v>2</v>
      </c>
      <c r="E5" s="2" t="s">
        <v>130</v>
      </c>
      <c r="F5" s="2" t="s">
        <v>93</v>
      </c>
      <c r="G5" s="2">
        <v>3291</v>
      </c>
      <c r="H5" s="2">
        <v>5085</v>
      </c>
      <c r="I5" s="2" t="s">
        <v>94</v>
      </c>
      <c r="J5" s="2" t="s">
        <v>8</v>
      </c>
      <c r="K5" s="2" t="s">
        <v>95</v>
      </c>
      <c r="L5" s="2">
        <v>83</v>
      </c>
      <c r="M5" s="2" t="s">
        <v>96</v>
      </c>
      <c r="N5" s="2">
        <v>4104</v>
      </c>
      <c r="O5" s="2" t="s">
        <v>3</v>
      </c>
      <c r="P5" s="2" t="s">
        <v>97</v>
      </c>
      <c r="Q5" s="2" t="s">
        <v>140</v>
      </c>
      <c r="R5" s="2" t="s">
        <v>99</v>
      </c>
      <c r="S5" s="2" t="s">
        <v>100</v>
      </c>
      <c r="T5" s="2">
        <v>174941609968189</v>
      </c>
      <c r="U5" s="2" t="s">
        <v>101</v>
      </c>
      <c r="V5" s="2" t="s">
        <v>102</v>
      </c>
      <c r="W5" s="2" t="s">
        <v>103</v>
      </c>
      <c r="X5" s="2">
        <v>4</v>
      </c>
      <c r="Y5" s="2" t="s">
        <v>141</v>
      </c>
      <c r="Z5" s="2" t="s">
        <v>105</v>
      </c>
      <c r="AA5" s="2" t="s">
        <v>0</v>
      </c>
      <c r="AB5" s="3" t="s">
        <v>106</v>
      </c>
      <c r="AC5" s="3" t="s">
        <v>107</v>
      </c>
      <c r="AD5" s="2" t="s">
        <v>108</v>
      </c>
      <c r="AE5" s="2" t="b">
        <v>0</v>
      </c>
      <c r="AF5" s="2" t="s">
        <v>109</v>
      </c>
      <c r="AG5" s="2" t="s">
        <v>8</v>
      </c>
      <c r="AH5" s="2" t="s">
        <v>8</v>
      </c>
      <c r="AI5" s="2" t="s">
        <v>110</v>
      </c>
      <c r="AJ5" s="2" t="s">
        <v>8</v>
      </c>
      <c r="AK5" s="2" t="s">
        <v>8</v>
      </c>
      <c r="AL5" s="2" t="s">
        <v>142</v>
      </c>
      <c r="AM5" s="2" t="b">
        <v>0</v>
      </c>
      <c r="AN5" s="2" t="s">
        <v>113</v>
      </c>
      <c r="AO5" s="2" t="s">
        <v>4</v>
      </c>
      <c r="AP5" s="2" t="s">
        <v>8</v>
      </c>
      <c r="AQ5" s="2" t="s">
        <v>8</v>
      </c>
      <c r="AR5" s="2" t="s">
        <v>8</v>
      </c>
      <c r="AS5" s="2" t="s">
        <v>114</v>
      </c>
      <c r="AT5" s="3" t="s">
        <v>32</v>
      </c>
      <c r="AU5" s="3" t="str">
        <f t="shared" si="0"/>
        <v>55.50</v>
      </c>
      <c r="AV5" s="3"/>
      <c r="AW5" s="2" t="s">
        <v>8</v>
      </c>
      <c r="AX5" s="2" t="s">
        <v>8</v>
      </c>
      <c r="AY5" s="2" t="s">
        <v>8</v>
      </c>
      <c r="AZ5" s="2" t="s">
        <v>8</v>
      </c>
      <c r="BA5" s="2" t="s">
        <v>8</v>
      </c>
      <c r="BB5" s="2" t="s">
        <v>8</v>
      </c>
      <c r="BC5" s="2" t="s">
        <v>8</v>
      </c>
      <c r="BD5" s="2" t="s">
        <v>8</v>
      </c>
      <c r="BE5" s="2" t="s">
        <v>8</v>
      </c>
      <c r="BF5" s="2" t="s">
        <v>8</v>
      </c>
      <c r="BG5" s="3" t="s">
        <v>32</v>
      </c>
      <c r="BH5" s="3" t="s">
        <v>143</v>
      </c>
      <c r="BI5" s="2" t="s">
        <v>144</v>
      </c>
    </row>
    <row r="6" spans="1:61" ht="15" x14ac:dyDescent="0.2">
      <c r="A6" s="2" t="s">
        <v>145</v>
      </c>
      <c r="B6" s="2">
        <v>25605335</v>
      </c>
      <c r="C6" s="2">
        <v>12659893</v>
      </c>
      <c r="D6" s="2" t="s">
        <v>6</v>
      </c>
      <c r="E6" s="2" t="s">
        <v>146</v>
      </c>
      <c r="F6" s="2" t="s">
        <v>93</v>
      </c>
      <c r="G6" s="2">
        <v>26615</v>
      </c>
      <c r="H6" s="2">
        <v>54641</v>
      </c>
      <c r="I6" s="2" t="s">
        <v>147</v>
      </c>
      <c r="J6" s="2" t="s">
        <v>8</v>
      </c>
      <c r="K6" s="2" t="s">
        <v>95</v>
      </c>
      <c r="L6" s="2">
        <v>83</v>
      </c>
      <c r="M6" s="2" t="s">
        <v>148</v>
      </c>
      <c r="N6" s="2">
        <v>3013</v>
      </c>
      <c r="O6" s="2" t="s">
        <v>3</v>
      </c>
      <c r="P6" s="2" t="s">
        <v>97</v>
      </c>
      <c r="Q6" s="2" t="s">
        <v>149</v>
      </c>
      <c r="R6" s="2" t="s">
        <v>150</v>
      </c>
      <c r="S6" s="2" t="s">
        <v>100</v>
      </c>
      <c r="T6" s="2">
        <v>175025358305370</v>
      </c>
      <c r="U6" s="2" t="s">
        <v>101</v>
      </c>
      <c r="V6" s="2" t="s">
        <v>151</v>
      </c>
      <c r="W6" s="2" t="s">
        <v>103</v>
      </c>
      <c r="X6" s="2">
        <v>4</v>
      </c>
      <c r="Y6" s="2" t="s">
        <v>152</v>
      </c>
      <c r="Z6" s="2" t="s">
        <v>105</v>
      </c>
      <c r="AA6" s="2" t="s">
        <v>0</v>
      </c>
      <c r="AB6" s="3" t="s">
        <v>153</v>
      </c>
      <c r="AC6" s="3" t="s">
        <v>154</v>
      </c>
      <c r="AD6" s="2" t="s">
        <v>108</v>
      </c>
      <c r="AE6" s="2" t="b">
        <v>0</v>
      </c>
      <c r="AF6" s="2" t="s">
        <v>109</v>
      </c>
      <c r="AG6" s="2" t="s">
        <v>8</v>
      </c>
      <c r="AH6" s="2" t="s">
        <v>8</v>
      </c>
      <c r="AI6" s="2" t="s">
        <v>110</v>
      </c>
      <c r="AJ6" s="2" t="s">
        <v>8</v>
      </c>
      <c r="AK6" s="2" t="s">
        <v>111</v>
      </c>
      <c r="AL6" s="2" t="s">
        <v>112</v>
      </c>
      <c r="AM6" s="2" t="b">
        <v>0</v>
      </c>
      <c r="AN6" s="2" t="s">
        <v>155</v>
      </c>
      <c r="AO6" s="2" t="s">
        <v>4</v>
      </c>
      <c r="AP6" s="2" t="s">
        <v>8</v>
      </c>
      <c r="AQ6" s="2" t="s">
        <v>8</v>
      </c>
      <c r="AR6" s="2" t="s">
        <v>8</v>
      </c>
      <c r="AS6" s="2" t="s">
        <v>114</v>
      </c>
      <c r="AT6" s="3" t="s">
        <v>33</v>
      </c>
      <c r="AU6" s="3" t="str">
        <f t="shared" si="0"/>
        <v>288.54</v>
      </c>
      <c r="AV6" s="3"/>
      <c r="AW6" s="2" t="s">
        <v>8</v>
      </c>
      <c r="AX6" s="2" t="s">
        <v>8</v>
      </c>
      <c r="AY6" s="2" t="s">
        <v>8</v>
      </c>
      <c r="AZ6" s="2" t="s">
        <v>8</v>
      </c>
      <c r="BA6" s="2" t="s">
        <v>8</v>
      </c>
      <c r="BB6" s="2" t="s">
        <v>8</v>
      </c>
      <c r="BC6" s="2" t="s">
        <v>8</v>
      </c>
      <c r="BD6" s="2" t="s">
        <v>8</v>
      </c>
      <c r="BE6" s="2" t="s">
        <v>8</v>
      </c>
      <c r="BF6" s="2" t="s">
        <v>8</v>
      </c>
      <c r="BG6" s="3" t="s">
        <v>33</v>
      </c>
      <c r="BH6" s="3" t="s">
        <v>5</v>
      </c>
      <c r="BI6" s="2" t="s">
        <v>7</v>
      </c>
    </row>
    <row r="7" spans="1:61" ht="15" x14ac:dyDescent="0.2">
      <c r="A7" s="2" t="s">
        <v>156</v>
      </c>
      <c r="B7" s="2">
        <v>25641897</v>
      </c>
      <c r="C7" s="2">
        <v>12686844</v>
      </c>
      <c r="D7" s="2" t="s">
        <v>10</v>
      </c>
      <c r="E7" s="2" t="s">
        <v>157</v>
      </c>
      <c r="F7" s="2" t="s">
        <v>93</v>
      </c>
      <c r="G7" s="2">
        <v>3291</v>
      </c>
      <c r="H7" s="2">
        <v>73265</v>
      </c>
      <c r="I7" s="2" t="s">
        <v>158</v>
      </c>
      <c r="J7" s="2" t="s">
        <v>8</v>
      </c>
      <c r="K7" s="2" t="s">
        <v>95</v>
      </c>
      <c r="L7" s="2">
        <v>83</v>
      </c>
      <c r="M7" s="2" t="s">
        <v>96</v>
      </c>
      <c r="N7" s="2">
        <v>4104</v>
      </c>
      <c r="O7" s="2" t="s">
        <v>3</v>
      </c>
      <c r="P7" s="2" t="s">
        <v>97</v>
      </c>
      <c r="Q7" s="2" t="s">
        <v>159</v>
      </c>
      <c r="R7" s="2" t="s">
        <v>160</v>
      </c>
      <c r="S7" s="2" t="s">
        <v>100</v>
      </c>
      <c r="T7" s="2">
        <v>175042863699452</v>
      </c>
      <c r="U7" s="2" t="s">
        <v>101</v>
      </c>
      <c r="V7" s="2" t="s">
        <v>151</v>
      </c>
      <c r="W7" s="2" t="s">
        <v>103</v>
      </c>
      <c r="X7" s="2">
        <v>4</v>
      </c>
      <c r="Y7" s="2" t="s">
        <v>161</v>
      </c>
      <c r="Z7" s="2" t="s">
        <v>105</v>
      </c>
      <c r="AA7" s="2" t="s">
        <v>0</v>
      </c>
      <c r="AB7" s="3" t="s">
        <v>162</v>
      </c>
      <c r="AC7" s="3" t="s">
        <v>163</v>
      </c>
      <c r="AD7" s="2" t="s">
        <v>108</v>
      </c>
      <c r="AE7" s="2" t="b">
        <v>0</v>
      </c>
      <c r="AF7" s="2" t="s">
        <v>109</v>
      </c>
      <c r="AG7" s="2" t="s">
        <v>8</v>
      </c>
      <c r="AH7" s="2" t="s">
        <v>8</v>
      </c>
      <c r="AI7" s="2" t="s">
        <v>110</v>
      </c>
      <c r="AJ7" s="2" t="s">
        <v>8</v>
      </c>
      <c r="AK7" s="2" t="s">
        <v>8</v>
      </c>
      <c r="AL7" s="2" t="s">
        <v>164</v>
      </c>
      <c r="AM7" s="2" t="b">
        <v>0</v>
      </c>
      <c r="AN7" s="2" t="s">
        <v>155</v>
      </c>
      <c r="AO7" s="2" t="s">
        <v>4</v>
      </c>
      <c r="AP7" s="2" t="s">
        <v>8</v>
      </c>
      <c r="AQ7" s="2" t="s">
        <v>8</v>
      </c>
      <c r="AR7" s="2" t="s">
        <v>8</v>
      </c>
      <c r="AS7" s="2" t="s">
        <v>114</v>
      </c>
      <c r="AT7" s="3" t="s">
        <v>34</v>
      </c>
      <c r="AU7" s="3" t="str">
        <f t="shared" si="0"/>
        <v>27.75</v>
      </c>
      <c r="AV7" s="3"/>
      <c r="AW7" s="3" t="s">
        <v>9</v>
      </c>
      <c r="AX7" s="2" t="s">
        <v>8</v>
      </c>
      <c r="AY7" s="2" t="s">
        <v>8</v>
      </c>
      <c r="AZ7" s="2" t="s">
        <v>8</v>
      </c>
      <c r="BA7" s="2" t="s">
        <v>8</v>
      </c>
      <c r="BB7" s="2" t="s">
        <v>8</v>
      </c>
      <c r="BC7" s="2" t="s">
        <v>116</v>
      </c>
      <c r="BD7" s="2" t="s">
        <v>8</v>
      </c>
      <c r="BE7" s="2" t="s">
        <v>8</v>
      </c>
      <c r="BF7" s="2" t="s">
        <v>8</v>
      </c>
      <c r="BG7" s="3" t="s">
        <v>34</v>
      </c>
      <c r="BH7" s="3" t="s">
        <v>9</v>
      </c>
      <c r="BI7" s="2" t="s">
        <v>11</v>
      </c>
    </row>
    <row r="8" spans="1:61" ht="15" x14ac:dyDescent="0.2">
      <c r="A8" s="2" t="s">
        <v>165</v>
      </c>
      <c r="B8" s="2">
        <v>25641897</v>
      </c>
      <c r="C8" s="2">
        <v>12687838</v>
      </c>
      <c r="D8" s="2" t="s">
        <v>10</v>
      </c>
      <c r="E8" s="2" t="s">
        <v>157</v>
      </c>
      <c r="F8" s="2" t="s">
        <v>93</v>
      </c>
      <c r="G8" s="2">
        <v>3291</v>
      </c>
      <c r="H8" s="2">
        <v>73265</v>
      </c>
      <c r="I8" s="2" t="s">
        <v>158</v>
      </c>
      <c r="J8" s="2" t="s">
        <v>8</v>
      </c>
      <c r="K8" s="2" t="s">
        <v>95</v>
      </c>
      <c r="L8" s="2">
        <v>83</v>
      </c>
      <c r="M8" s="2" t="s">
        <v>96</v>
      </c>
      <c r="N8" s="2">
        <v>4104</v>
      </c>
      <c r="O8" s="2" t="s">
        <v>12</v>
      </c>
      <c r="P8" s="2" t="s">
        <v>97</v>
      </c>
      <c r="Q8" s="2" t="s">
        <v>159</v>
      </c>
      <c r="R8" s="2" t="s">
        <v>160</v>
      </c>
      <c r="S8" s="2" t="s">
        <v>100</v>
      </c>
      <c r="T8" s="2" t="s">
        <v>166</v>
      </c>
      <c r="U8" s="2" t="s">
        <v>101</v>
      </c>
      <c r="V8" s="2" t="s">
        <v>151</v>
      </c>
      <c r="W8" s="2" t="s">
        <v>103</v>
      </c>
      <c r="X8" s="2">
        <v>2</v>
      </c>
      <c r="Y8" s="2" t="s">
        <v>167</v>
      </c>
      <c r="Z8" s="2" t="s">
        <v>105</v>
      </c>
      <c r="AA8" s="2" t="s">
        <v>0</v>
      </c>
      <c r="AB8" s="3" t="s">
        <v>162</v>
      </c>
      <c r="AC8" s="3" t="s">
        <v>163</v>
      </c>
      <c r="AD8" s="2" t="s">
        <v>108</v>
      </c>
      <c r="AE8" s="2" t="b">
        <v>0</v>
      </c>
      <c r="AF8" s="2" t="s">
        <v>109</v>
      </c>
      <c r="AG8" s="2" t="s">
        <v>8</v>
      </c>
      <c r="AH8" s="2" t="s">
        <v>8</v>
      </c>
      <c r="AI8" s="2" t="s">
        <v>110</v>
      </c>
      <c r="AJ8" s="2" t="s">
        <v>168</v>
      </c>
      <c r="AK8" s="2" t="s">
        <v>111</v>
      </c>
      <c r="AL8" s="2" t="s">
        <v>126</v>
      </c>
      <c r="AM8" s="2" t="b">
        <v>0</v>
      </c>
      <c r="AN8" s="2" t="s">
        <v>113</v>
      </c>
      <c r="AO8" s="2" t="s">
        <v>4</v>
      </c>
      <c r="AP8" s="2" t="s">
        <v>8</v>
      </c>
      <c r="AQ8" s="2" t="s">
        <v>8</v>
      </c>
      <c r="AR8" s="2" t="s">
        <v>8</v>
      </c>
      <c r="AS8" s="2" t="s">
        <v>114</v>
      </c>
      <c r="AT8" s="3" t="s">
        <v>34</v>
      </c>
      <c r="AU8" s="3" t="str">
        <f t="shared" si="0"/>
        <v>27.75</v>
      </c>
      <c r="AV8" s="3"/>
      <c r="AW8" s="3" t="s">
        <v>9</v>
      </c>
      <c r="AX8" s="2" t="s">
        <v>8</v>
      </c>
      <c r="AY8" s="2" t="s">
        <v>8</v>
      </c>
      <c r="AZ8" s="2" t="s">
        <v>8</v>
      </c>
      <c r="BA8" s="2" t="s">
        <v>8</v>
      </c>
      <c r="BB8" s="2" t="s">
        <v>8</v>
      </c>
      <c r="BC8" s="2" t="s">
        <v>116</v>
      </c>
      <c r="BD8" s="2" t="s">
        <v>8</v>
      </c>
      <c r="BE8" s="2" t="s">
        <v>8</v>
      </c>
      <c r="BF8" s="2" t="s">
        <v>8</v>
      </c>
      <c r="BG8" s="3" t="s">
        <v>34</v>
      </c>
      <c r="BH8" s="3" t="s">
        <v>9</v>
      </c>
      <c r="BI8" s="2" t="s">
        <v>11</v>
      </c>
    </row>
  </sheetData>
  <pageMargins left="0.7" right="0.7" top="0.75" bottom="0.75" header="0.3" footer="0.3"/>
  <ignoredErrors>
    <ignoredError sqref="A1:BI1 A3:AT8 A2:AT2 AW2:BI2 AW3:B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 Thakkar</cp:lastModifiedBy>
  <dcterms:modified xsi:type="dcterms:W3CDTF">2026-02-12T11:49:45Z</dcterms:modified>
</cp:coreProperties>
</file>