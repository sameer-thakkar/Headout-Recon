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8390FD99-F5BC-6946-8851-0AE19D17C238}" xr6:coauthVersionLast="47" xr6:coauthVersionMax="47" xr10:uidLastSave="{00000000-0000-0000-0000-000000000000}"/>
  <bookViews>
    <workbookView xWindow="0" yWindow="660" windowWidth="29400" windowHeight="16940" activeTab="1" xr2:uid="{00000000-000D-0000-FFFF-FFFF00000000}"/>
  </bookViews>
  <sheets>
    <sheet name="SP Invoice Report" sheetId="3" r:id="rId1"/>
    <sheet name="HO data" sheetId="4" r:id="rId2"/>
    <sheet name="Log table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7" l="1"/>
  <c r="F6" i="7"/>
  <c r="F5" i="7"/>
  <c r="F4" i="7"/>
  <c r="F3" i="7"/>
  <c r="F2" i="7"/>
</calcChain>
</file>

<file path=xl/sharedStrings.xml><?xml version="1.0" encoding="utf-8"?>
<sst xmlns="http://schemas.openxmlformats.org/spreadsheetml/2006/main" count="545" uniqueCount="190">
  <si>
    <t>GBP</t>
  </si>
  <si>
    <t>26/05/2025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</si>
  <si>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</si>
  <si>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</si>
  <si>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</si>
  <si>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</si>
  <si>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</si>
  <si>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</si>
  <si>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</si>
  <si>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</si>
  <si>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</si>
  <si>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</si>
  <si>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</si>
  <si>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</si>
  <si>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</si>
  <si>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</si>
  <si>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</si>
  <si>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</si>
  <si>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</si>
  <si>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</si>
  <si>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FX Rate Used</t>
  </si>
  <si>
    <t>customerName</t>
  </si>
  <si>
    <t>fulfilmentDate</t>
  </si>
  <si>
    <t>Billing Currency</t>
  </si>
  <si>
    <t>spBookingRefNumber</t>
  </si>
  <si>
    <t>SP Net (HO Currency)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</si>
  <si>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</si>
  <si>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</si>
  <si>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</si>
  <si>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</si>
  <si>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</si>
  <si>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</si>
  <si>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</si>
  <si>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</si>
  <si>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</si>
  <si>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</si>
  <si>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</si>
  <si>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</si>
  <si>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</si>
  <si>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</si>
  <si>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</si>
  <si>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</si>
  <si>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</si>
  <si>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</si>
  <si>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</si>
  <si>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</si>
  <si>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</si>
  <si>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</si>
  <si>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</si>
  <si>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</si>
  <si>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</si>
  <si>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</si>
  <si>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</si>
  <si>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</si>
  <si>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</si>
  <si>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</si>
  <si>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</si>
  <si>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</si>
  <si>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</si>
  <si>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</si>
  <si>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</si>
  <si>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</si>
  <si>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</si>
  <si>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</si>
  <si>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</si>
  <si>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</si>
  <si>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</si>
  <si>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</si>
  <si>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</si>
  <si>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</si>
  <si>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</si>
  <si>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</si>
  <si>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</si>
  <si>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</si>
  <si>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</si>
  <si>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</si>
  <si>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</si>
  <si>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</si>
  <si>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</si>
  <si>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</si>
  <si>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</si>
  <si>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</si>
  <si>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</si>
  <si>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</si>
  <si>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</si>
  <si>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</si>
  <si>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</si>
  <si>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</si>
  <si>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</si>
  <si>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</si>
  <si>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</si>
  <si>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</si>
  <si>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</si>
  <si>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</si>
  <si>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</si>
  <si>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</si>
  <si>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</si>
  <si>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{_x000D__x000D_
"totalCount": 2,_x000D__x000D_
"personList": [{_x000D__x000D_
"count": 2,_x000D__x000D_
"type": "ADULT",_x000D__x000D_
"priceNet": 27.74_x000D__x000D_
}]_x000D__x000D_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</si>
  <si>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</si>
  <si>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</si>
  <si>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</si>
  <si>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</si>
  <si>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</si>
  <si>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</si>
  <si>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</si>
  <si>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</si>
  <si>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{_x000D__x000D_
}</t>
  </si>
  <si>
    <t>COMPLETED</t>
  </si>
  <si>
    <t>FALSE</t>
  </si>
  <si>
    <t>Price Mismatch</t>
  </si>
  <si>
    <t>Negative Variance</t>
  </si>
  <si>
    <t>Reconciliation auto reconciled</t>
  </si>
  <si>
    <t>7569</t>
  </si>
  <si>
    <t>56.00</t>
  </si>
  <si>
    <t>20.52</t>
  </si>
  <si>
    <t>OPEN</t>
  </si>
  <si>
    <t>XXXX</t>
  </si>
  <si>
    <t>1.1.26</t>
  </si>
  <si>
    <t>-20.52</t>
  </si>
  <si>
    <t>-36.99%</t>
  </si>
  <si>
    <t>reconciliation_960887382020578</t>
  </si>
  <si>
    <t>02/06/2025</t>
  </si>
  <si>
    <t>Iola Coxshall</t>
  </si>
  <si>
    <t>{_x000D__x000D_
"totalCount": 1,_x000D__x000D_
"personList": [{_x000D__x000D_
"count": 1,_x000D__x000D_
"type": "SENIOR",_x000D__x000D_
"priceNet": 22.09_x000D__x000D_
}]_x000D__x000D_
}</t>
  </si>
  <si>
    <t>2025-06-02T13:54:21.999Z</t>
  </si>
  <si>
    <t>28.50</t>
  </si>
  <si>
    <t>28.00</t>
  </si>
  <si>
    <t>Positive Variance</t>
  </si>
  <si>
    <t>7.09</t>
  </si>
  <si>
    <t>5.91</t>
  </si>
  <si>
    <t>21.11%</t>
  </si>
  <si>
    <t>reconciliation_1504498143192805</t>
  </si>
  <si>
    <t>08/06/2025</t>
  </si>
  <si>
    <t>05/12/2025</t>
  </si>
  <si>
    <t>Suely Maria de Souza Araujo Menezes</t>
  </si>
  <si>
    <t>{_x000D__x000D_
"totalCount": 2,_x000D__x000D_
"personList": [{_x000D__x000D_
"count": 2,_x000D__x000D_
"type": "SENIOR",_x000D__x000D_
"priceNet": 22.09_x000D__x000D_
}]_x000D__x000D_
}</t>
  </si>
  <si>
    <t>2025-06-08T20:54:33.000Z</t>
  </si>
  <si>
    <t>57.00</t>
  </si>
  <si>
    <t>44.18</t>
  </si>
  <si>
    <t>39.00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</si>
  <si>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</si>
  <si>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</si>
  <si>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</si>
  <si>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</si>
  <si>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</si>
  <si>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</si>
  <si>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</si>
  <si>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45.50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</si>
  <si>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</si>
  <si>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</si>
  <si>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</si>
  <si>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</si>
  <si>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</si>
  <si>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</si>
  <si>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</si>
  <si>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{_x000D__x000D_
"totalCount": 6,_x000D__x000D_
"personList": [{_x000D__x000D_
"count": 6,_x000D__x000D_
"type": "ADULT",_x000D__x000D_
"priceNet": 47.5_x000D__x000D_
}]_x000D__x000D_
}</t>
  </si>
  <si>
    <t>RECONCILIATION_STATUS_DISCREPANCY</t>
  </si>
  <si>
    <t>2025-06-18T13:33:02.000Z</t>
  </si>
  <si>
    <t>354.00</t>
  </si>
  <si>
    <t>285.00</t>
  </si>
  <si>
    <t>Net price discrepancy</t>
  </si>
  <si>
    <t>158.54</t>
  </si>
  <si>
    <t>3.54</t>
  </si>
  <si>
    <t>reconciliation_189937869007419</t>
  </si>
  <si>
    <t>07/12/2025</t>
  </si>
  <si>
    <t>Tower of London Entry Ticket + Thames River Cruise</t>
  </si>
  <si>
    <t>Megan Sorenson</t>
  </si>
  <si>
    <t>{_x000D__x000D_
"totalCount": 1,_x000D__x000D_
"personList": [{_x000D__x000D_
"count": 1,_x000D__x000D_
"type": "ADULT",_x000D__x000D_
"priceNet": 35.8_x000D__x000D_
}]_x000D__x000D_
}</t>
  </si>
  <si>
    <t>2025-06-20T14:10:36.000Z</t>
  </si>
  <si>
    <t>63.61</t>
  </si>
  <si>
    <t>35.80</t>
  </si>
  <si>
    <t>0.00</t>
  </si>
  <si>
    <t>reconciliation_194648779201887</t>
  </si>
  <si>
    <t>MANUAL</t>
  </si>
  <si>
    <t>R7WT7DV/ 175042863699452</t>
  </si>
  <si>
    <t>2025-06-20T15:29:07.000Z</t>
  </si>
  <si>
    <t>BizOps</t>
  </si>
  <si>
    <t>Duplicate Fulfillment</t>
  </si>
  <si>
    <t>Booking ID</t>
  </si>
  <si>
    <t>FF ID</t>
  </si>
  <si>
    <t>5.1.26</t>
  </si>
  <si>
    <t>YYYY</t>
  </si>
  <si>
    <t>1.1.26, 5.1.26</t>
  </si>
  <si>
    <t>XXXX, YYYY</t>
  </si>
  <si>
    <t>Amount paid till Date</t>
  </si>
  <si>
    <t>Dispute adjusted</t>
  </si>
  <si>
    <t>Total Dispute adjusted</t>
  </si>
  <si>
    <t xml:space="preserve">UTR </t>
  </si>
  <si>
    <t>Retool update date</t>
  </si>
  <si>
    <t>Amount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</si>
</sst>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2" fillId="2" borderId="1" xfId="0" applyFont="1" applyFill="1" applyBorder="1"/>
    <xf numFmtId="0" fontId="1" fillId="0" borderId="0" xfId="0" applyFont="1"/>
    <xf numFmtId="0" fontId="1" fillId="3" borderId="0" xfId="0" applyFont="1" applyFill="1"/>
    <xf numFmtId="0" fontId="1" fillId="0" borderId="2" xfId="0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5" x14ac:dyDescent="0.2"/>
  <sheetData>
    <row r="1" spans="1:1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x14ac:dyDescent="0.2">
      <c r="A2" s="2">
        <v>83</v>
      </c>
      <c r="B2" s="2" t="s">
        <v>7</v>
      </c>
      <c r="C2" s="2" t="s">
        <v>7</v>
      </c>
      <c r="D2" s="2" t="s">
        <v>26</v>
      </c>
      <c r="E2" s="2" t="s">
        <v>7</v>
      </c>
      <c r="F2" s="2">
        <v>7569</v>
      </c>
      <c r="G2" s="2" t="s">
        <v>7</v>
      </c>
      <c r="H2" s="2" t="s">
        <v>7</v>
      </c>
      <c r="I2" s="2">
        <v>25183238</v>
      </c>
      <c r="J2" s="3" t="s">
        <v>27</v>
      </c>
      <c r="K2" s="2" t="s">
        <v>7</v>
      </c>
      <c r="L2" s="2" t="s">
        <v>7</v>
      </c>
      <c r="M2" s="2" t="s">
        <v>0</v>
      </c>
      <c r="N2" s="2" t="s">
        <v>7</v>
      </c>
      <c r="O2" s="3" t="s">
        <v>26</v>
      </c>
    </row>
    <row r="3" spans="1:15" x14ac:dyDescent="0.2">
      <c r="A3" s="2">
        <v>83</v>
      </c>
      <c r="B3" s="2" t="s">
        <v>7</v>
      </c>
      <c r="C3" s="2" t="s">
        <v>7</v>
      </c>
      <c r="D3" s="2" t="s">
        <v>28</v>
      </c>
      <c r="E3" s="2" t="s">
        <v>7</v>
      </c>
      <c r="F3" s="2">
        <v>7569</v>
      </c>
      <c r="G3" s="2" t="s">
        <v>7</v>
      </c>
      <c r="H3" s="2" t="s">
        <v>7</v>
      </c>
      <c r="I3" s="2">
        <v>25312926</v>
      </c>
      <c r="J3" s="3" t="s">
        <v>27</v>
      </c>
      <c r="K3" s="2" t="s">
        <v>7</v>
      </c>
      <c r="L3" s="2" t="s">
        <v>7</v>
      </c>
      <c r="M3" s="2" t="s">
        <v>0</v>
      </c>
      <c r="N3" s="2" t="s">
        <v>7</v>
      </c>
      <c r="O3" s="3" t="s">
        <v>28</v>
      </c>
    </row>
    <row r="4" spans="1:15" x14ac:dyDescent="0.2">
      <c r="A4" s="2">
        <v>83</v>
      </c>
      <c r="B4" s="2" t="s">
        <v>7</v>
      </c>
      <c r="C4" s="2" t="s">
        <v>7</v>
      </c>
      <c r="D4" s="2" t="s">
        <v>29</v>
      </c>
      <c r="E4" s="2" t="s">
        <v>7</v>
      </c>
      <c r="F4" s="2">
        <v>7569</v>
      </c>
      <c r="G4" s="2" t="s">
        <v>7</v>
      </c>
      <c r="H4" s="2" t="s">
        <v>7</v>
      </c>
      <c r="I4" s="2">
        <v>25437183</v>
      </c>
      <c r="J4" s="3" t="s">
        <v>27</v>
      </c>
      <c r="K4" s="2" t="s">
        <v>7</v>
      </c>
      <c r="L4" s="2" t="s">
        <v>7</v>
      </c>
      <c r="M4" s="2" t="s">
        <v>0</v>
      </c>
      <c r="N4" s="2" t="s">
        <v>7</v>
      </c>
      <c r="O4" s="3" t="s">
        <v>29</v>
      </c>
    </row>
    <row r="5" spans="1:15" x14ac:dyDescent="0.2">
      <c r="A5" s="2">
        <v>83</v>
      </c>
      <c r="B5" s="2" t="s">
        <v>7</v>
      </c>
      <c r="C5" s="2" t="s">
        <v>7</v>
      </c>
      <c r="D5" s="2" t="s">
        <v>30</v>
      </c>
      <c r="E5" s="2" t="s">
        <v>7</v>
      </c>
      <c r="F5" s="2">
        <v>7569</v>
      </c>
      <c r="G5" s="2" t="s">
        <v>7</v>
      </c>
      <c r="H5" s="2" t="s">
        <v>7</v>
      </c>
      <c r="I5" s="2">
        <v>25437184</v>
      </c>
      <c r="J5" s="3" t="s">
        <v>27</v>
      </c>
      <c r="K5" s="2" t="s">
        <v>7</v>
      </c>
      <c r="L5" s="2" t="s">
        <v>7</v>
      </c>
      <c r="M5" s="2" t="s">
        <v>0</v>
      </c>
      <c r="N5" s="2" t="s">
        <v>7</v>
      </c>
      <c r="O5" s="3" t="s">
        <v>30</v>
      </c>
    </row>
    <row r="6" spans="1:15" x14ac:dyDescent="0.2">
      <c r="A6" s="2">
        <v>83</v>
      </c>
      <c r="B6" s="2" t="s">
        <v>7</v>
      </c>
      <c r="C6" s="2" t="s">
        <v>7</v>
      </c>
      <c r="D6" s="2" t="s">
        <v>31</v>
      </c>
      <c r="E6" s="2" t="s">
        <v>7</v>
      </c>
      <c r="F6" s="2">
        <v>7569</v>
      </c>
      <c r="G6" s="2" t="s">
        <v>7</v>
      </c>
      <c r="H6" s="2" t="s">
        <v>7</v>
      </c>
      <c r="I6" s="2">
        <v>25605335</v>
      </c>
      <c r="J6" s="3" t="s">
        <v>27</v>
      </c>
      <c r="K6" s="2" t="s">
        <v>7</v>
      </c>
      <c r="L6" s="2" t="s">
        <v>7</v>
      </c>
      <c r="M6" s="2" t="s">
        <v>0</v>
      </c>
      <c r="N6" s="2" t="s">
        <v>7</v>
      </c>
      <c r="O6" s="3" t="s">
        <v>31</v>
      </c>
    </row>
    <row r="7" spans="1:15" x14ac:dyDescent="0.2">
      <c r="A7" s="2">
        <v>83</v>
      </c>
      <c r="B7" s="2" t="s">
        <v>7</v>
      </c>
      <c r="C7" s="2" t="s">
        <v>7</v>
      </c>
      <c r="D7" s="2" t="s">
        <v>32</v>
      </c>
      <c r="E7" s="2" t="s">
        <v>7</v>
      </c>
      <c r="F7" s="2">
        <v>7569</v>
      </c>
      <c r="G7" s="2" t="s">
        <v>7</v>
      </c>
      <c r="H7" s="2" t="s">
        <v>7</v>
      </c>
      <c r="I7" s="2">
        <v>25641897</v>
      </c>
      <c r="J7" s="3" t="s">
        <v>27</v>
      </c>
      <c r="K7" s="2" t="s">
        <v>7</v>
      </c>
      <c r="L7" s="2" t="s">
        <v>7</v>
      </c>
      <c r="M7" s="2" t="s">
        <v>0</v>
      </c>
      <c r="N7" s="2" t="s">
        <v>7</v>
      </c>
      <c r="O7" s="3" t="s">
        <v>32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abSelected="1" topLeftCell="AP1" workbookViewId="0">
      <selection activeCell="AY8" sqref="AY8"/>
    </sheetView>
  </sheetViews>
  <sheetFormatPr baseColWidth="10" defaultRowHeight="15" x14ac:dyDescent="0.2"/>
  <cols>
    <col min="49" max="49" width="14.5" bestFit="1" customWidth="1"/>
    <col min="50" max="50" width="16.5" bestFit="1" customWidth="1"/>
    <col min="51" max="51" width="18.33203125" bestFit="1" customWidth="1"/>
    <col min="52" max="52" width="17" bestFit="1" customWidth="1"/>
    <col min="53" max="53" width="18.83203125" bestFit="1" customWidth="1"/>
    <col min="54" max="54" width="17.1640625" bestFit="1" customWidth="1"/>
    <col min="57" max="57" width="9.33203125" bestFit="1" customWidth="1"/>
    <col min="58" max="58" width="13.83203125" bestFit="1" customWidth="1"/>
  </cols>
  <sheetData>
    <row r="1" spans="1:61" x14ac:dyDescent="0.2">
      <c r="A1" s="1" t="s">
        <v>33</v>
      </c>
      <c r="B1" s="1" t="s">
        <v>19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11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13</v>
      </c>
      <c r="S1" s="1" t="s">
        <v>48</v>
      </c>
      <c r="T1" s="1" t="s">
        <v>24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14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4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</row>
    <row r="2" spans="1:61" x14ac:dyDescent="0.2">
      <c r="A2" s="2" t="s">
        <v>89</v>
      </c>
      <c r="B2" s="2">
        <v>25183238</v>
      </c>
      <c r="C2" s="2">
        <v>12328851</v>
      </c>
      <c r="D2" s="2" t="s">
        <v>1</v>
      </c>
      <c r="E2" s="2" t="s">
        <v>90</v>
      </c>
      <c r="F2" s="2" t="s">
        <v>91</v>
      </c>
      <c r="G2" s="2">
        <v>3291</v>
      </c>
      <c r="H2" s="2">
        <v>5085</v>
      </c>
      <c r="I2" s="2" t="s">
        <v>92</v>
      </c>
      <c r="J2" s="2" t="s">
        <v>7</v>
      </c>
      <c r="K2" s="2" t="s">
        <v>93</v>
      </c>
      <c r="L2" s="2">
        <v>83</v>
      </c>
      <c r="M2" s="2" t="s">
        <v>94</v>
      </c>
      <c r="N2" s="2">
        <v>4104</v>
      </c>
      <c r="O2" s="2" t="s">
        <v>2</v>
      </c>
      <c r="P2" s="2" t="s">
        <v>95</v>
      </c>
      <c r="Q2" s="2" t="s">
        <v>96</v>
      </c>
      <c r="R2" s="2" t="s">
        <v>97</v>
      </c>
      <c r="S2" s="2" t="s">
        <v>98</v>
      </c>
      <c r="T2" s="2">
        <v>174827681281555</v>
      </c>
      <c r="U2" s="2" t="s">
        <v>99</v>
      </c>
      <c r="V2" s="2" t="s">
        <v>100</v>
      </c>
      <c r="W2" s="2" t="s">
        <v>101</v>
      </c>
      <c r="X2" s="2">
        <v>4</v>
      </c>
      <c r="Y2" s="2" t="s">
        <v>102</v>
      </c>
      <c r="Z2" s="2" t="s">
        <v>103</v>
      </c>
      <c r="AA2" s="2" t="s">
        <v>0</v>
      </c>
      <c r="AB2" s="2" t="s">
        <v>104</v>
      </c>
      <c r="AC2" s="2" t="s">
        <v>105</v>
      </c>
      <c r="AD2" s="2" t="s">
        <v>106</v>
      </c>
      <c r="AE2" s="2" t="b">
        <v>0</v>
      </c>
      <c r="AF2" s="2" t="s">
        <v>107</v>
      </c>
      <c r="AG2" s="2" t="s">
        <v>7</v>
      </c>
      <c r="AH2" s="2" t="s">
        <v>7</v>
      </c>
      <c r="AI2" s="2" t="s">
        <v>108</v>
      </c>
      <c r="AJ2" s="2" t="s">
        <v>7</v>
      </c>
      <c r="AK2" s="2" t="s">
        <v>109</v>
      </c>
      <c r="AL2" s="2" t="s">
        <v>110</v>
      </c>
      <c r="AM2" s="2" t="b">
        <v>0</v>
      </c>
      <c r="AN2" s="2" t="s">
        <v>111</v>
      </c>
      <c r="AO2" s="2" t="s">
        <v>3</v>
      </c>
      <c r="AP2" s="2" t="s">
        <v>7</v>
      </c>
      <c r="AQ2" s="2" t="s">
        <v>7</v>
      </c>
      <c r="AR2" s="2" t="s">
        <v>7</v>
      </c>
      <c r="AS2" s="2" t="s">
        <v>112</v>
      </c>
      <c r="AT2" s="3" t="s">
        <v>26</v>
      </c>
      <c r="AU2" s="3">
        <v>76</v>
      </c>
      <c r="AV2" s="3" t="s">
        <v>113</v>
      </c>
      <c r="AW2" s="3" t="s">
        <v>114</v>
      </c>
      <c r="AX2" s="2" t="s">
        <v>7</v>
      </c>
      <c r="AY2" s="2">
        <v>10</v>
      </c>
      <c r="AZ2" s="2" t="s">
        <v>7</v>
      </c>
      <c r="BA2" s="2" t="s">
        <v>7</v>
      </c>
      <c r="BB2" s="2" t="s">
        <v>7</v>
      </c>
      <c r="BC2" s="2" t="s">
        <v>115</v>
      </c>
      <c r="BD2" s="2" t="s">
        <v>7</v>
      </c>
      <c r="BE2" s="7" t="s">
        <v>183</v>
      </c>
      <c r="BF2" s="7" t="s">
        <v>182</v>
      </c>
      <c r="BG2" s="3" t="s">
        <v>26</v>
      </c>
      <c r="BH2" s="3" t="s">
        <v>118</v>
      </c>
      <c r="BI2" s="2" t="s">
        <v>119</v>
      </c>
    </row>
    <row r="3" spans="1:61" x14ac:dyDescent="0.2">
      <c r="A3" s="2" t="s">
        <v>120</v>
      </c>
      <c r="B3" s="2">
        <v>25312926</v>
      </c>
      <c r="C3" s="2">
        <v>12432764</v>
      </c>
      <c r="D3" s="2" t="s">
        <v>121</v>
      </c>
      <c r="E3" s="2" t="s">
        <v>90</v>
      </c>
      <c r="F3" s="2" t="s">
        <v>91</v>
      </c>
      <c r="G3" s="2">
        <v>3291</v>
      </c>
      <c r="H3" s="2">
        <v>5085</v>
      </c>
      <c r="I3" s="2" t="s">
        <v>92</v>
      </c>
      <c r="J3" s="2" t="s">
        <v>7</v>
      </c>
      <c r="K3" s="2" t="s">
        <v>93</v>
      </c>
      <c r="L3" s="2">
        <v>83</v>
      </c>
      <c r="M3" s="2" t="s">
        <v>94</v>
      </c>
      <c r="N3" s="2">
        <v>4104</v>
      </c>
      <c r="O3" s="2" t="s">
        <v>2</v>
      </c>
      <c r="P3" s="2" t="s">
        <v>95</v>
      </c>
      <c r="Q3" s="2" t="s">
        <v>122</v>
      </c>
      <c r="R3" s="2" t="s">
        <v>123</v>
      </c>
      <c r="S3" s="2" t="s">
        <v>98</v>
      </c>
      <c r="T3" s="2">
        <v>174887246332324</v>
      </c>
      <c r="U3" s="2" t="s">
        <v>99</v>
      </c>
      <c r="V3" s="2" t="s">
        <v>100</v>
      </c>
      <c r="W3" s="2" t="s">
        <v>101</v>
      </c>
      <c r="X3" s="2">
        <v>4</v>
      </c>
      <c r="Y3" s="2" t="s">
        <v>124</v>
      </c>
      <c r="Z3" s="2" t="s">
        <v>103</v>
      </c>
      <c r="AA3" s="2" t="s">
        <v>0</v>
      </c>
      <c r="AB3" s="2" t="s">
        <v>125</v>
      </c>
      <c r="AC3" s="2" t="s">
        <v>126</v>
      </c>
      <c r="AD3" s="2" t="s">
        <v>106</v>
      </c>
      <c r="AE3" s="2" t="b">
        <v>0</v>
      </c>
      <c r="AF3" s="2" t="s">
        <v>107</v>
      </c>
      <c r="AG3" s="2" t="s">
        <v>7</v>
      </c>
      <c r="AH3" s="2" t="s">
        <v>7</v>
      </c>
      <c r="AI3" s="2" t="s">
        <v>108</v>
      </c>
      <c r="AJ3" s="2" t="s">
        <v>7</v>
      </c>
      <c r="AK3" s="2" t="s">
        <v>109</v>
      </c>
      <c r="AL3" s="2" t="s">
        <v>127</v>
      </c>
      <c r="AM3" s="2" t="b">
        <v>0</v>
      </c>
      <c r="AN3" s="2" t="s">
        <v>111</v>
      </c>
      <c r="AO3" s="2" t="s">
        <v>3</v>
      </c>
      <c r="AP3" s="2" t="s">
        <v>7</v>
      </c>
      <c r="AQ3" s="2" t="s">
        <v>7</v>
      </c>
      <c r="AR3" s="2" t="s">
        <v>7</v>
      </c>
      <c r="AS3" s="2" t="s">
        <v>112</v>
      </c>
      <c r="AT3" s="3" t="s">
        <v>28</v>
      </c>
      <c r="AU3" s="3">
        <v>22.09</v>
      </c>
      <c r="AV3" s="3" t="s">
        <v>128</v>
      </c>
      <c r="AW3" s="3" t="s">
        <v>129</v>
      </c>
      <c r="AX3" s="2" t="s">
        <v>7</v>
      </c>
      <c r="AY3" s="2">
        <v>4</v>
      </c>
      <c r="AZ3" s="2" t="s">
        <v>7</v>
      </c>
      <c r="BA3" s="2" t="s">
        <v>7</v>
      </c>
      <c r="BB3" s="2" t="s">
        <v>7</v>
      </c>
      <c r="BC3" s="2" t="s">
        <v>115</v>
      </c>
      <c r="BD3" s="2" t="s">
        <v>7</v>
      </c>
      <c r="BE3" s="7" t="s">
        <v>183</v>
      </c>
      <c r="BF3" s="7" t="s">
        <v>182</v>
      </c>
      <c r="BG3" s="3" t="s">
        <v>28</v>
      </c>
      <c r="BH3" s="3" t="s">
        <v>129</v>
      </c>
      <c r="BI3" s="2" t="s">
        <v>130</v>
      </c>
    </row>
    <row r="4" spans="1:61" x14ac:dyDescent="0.2">
      <c r="A4" s="2" t="s">
        <v>131</v>
      </c>
      <c r="B4" s="2">
        <v>25437183</v>
      </c>
      <c r="C4" s="2">
        <v>12530873</v>
      </c>
      <c r="D4" s="2" t="s">
        <v>132</v>
      </c>
      <c r="E4" s="2" t="s">
        <v>133</v>
      </c>
      <c r="F4" s="2" t="s">
        <v>91</v>
      </c>
      <c r="G4" s="2">
        <v>3291</v>
      </c>
      <c r="H4" s="2">
        <v>5085</v>
      </c>
      <c r="I4" s="2" t="s">
        <v>92</v>
      </c>
      <c r="J4" s="2" t="s">
        <v>7</v>
      </c>
      <c r="K4" s="2" t="s">
        <v>93</v>
      </c>
      <c r="L4" s="2">
        <v>83</v>
      </c>
      <c r="M4" s="2" t="s">
        <v>94</v>
      </c>
      <c r="N4" s="2">
        <v>4104</v>
      </c>
      <c r="O4" s="2" t="s">
        <v>2</v>
      </c>
      <c r="P4" s="2" t="s">
        <v>95</v>
      </c>
      <c r="Q4" s="2" t="s">
        <v>134</v>
      </c>
      <c r="R4" s="2" t="s">
        <v>135</v>
      </c>
      <c r="S4" s="2" t="s">
        <v>98</v>
      </c>
      <c r="T4" s="2">
        <v>174941607427844</v>
      </c>
      <c r="U4" s="2" t="s">
        <v>99</v>
      </c>
      <c r="V4" s="2" t="s">
        <v>100</v>
      </c>
      <c r="W4" s="2" t="s">
        <v>101</v>
      </c>
      <c r="X4" s="2">
        <v>4</v>
      </c>
      <c r="Y4" s="2" t="s">
        <v>136</v>
      </c>
      <c r="Z4" s="2" t="s">
        <v>103</v>
      </c>
      <c r="AA4" s="2" t="s">
        <v>0</v>
      </c>
      <c r="AB4" s="2" t="s">
        <v>137</v>
      </c>
      <c r="AC4" s="2" t="s">
        <v>138</v>
      </c>
      <c r="AD4" s="2" t="s">
        <v>106</v>
      </c>
      <c r="AE4" s="2" t="b">
        <v>0</v>
      </c>
      <c r="AF4" s="2" t="s">
        <v>107</v>
      </c>
      <c r="AG4" s="2" t="s">
        <v>7</v>
      </c>
      <c r="AH4" s="2" t="s">
        <v>7</v>
      </c>
      <c r="AI4" s="2" t="s">
        <v>108</v>
      </c>
      <c r="AJ4" s="2" t="s">
        <v>7</v>
      </c>
      <c r="AK4" s="2" t="s">
        <v>109</v>
      </c>
      <c r="AL4" s="2" t="s">
        <v>110</v>
      </c>
      <c r="AM4" s="2" t="b">
        <v>0</v>
      </c>
      <c r="AN4" s="2" t="s">
        <v>111</v>
      </c>
      <c r="AO4" s="2" t="s">
        <v>3</v>
      </c>
      <c r="AP4" s="2" t="s">
        <v>7</v>
      </c>
      <c r="AQ4" s="2" t="s">
        <v>7</v>
      </c>
      <c r="AR4" s="2" t="s">
        <v>7</v>
      </c>
      <c r="AS4" s="2" t="s">
        <v>112</v>
      </c>
      <c r="AT4" s="3" t="s">
        <v>29</v>
      </c>
      <c r="AU4" s="3">
        <v>49</v>
      </c>
      <c r="AV4" s="3" t="s">
        <v>139</v>
      </c>
      <c r="AW4" s="3" t="s">
        <v>140</v>
      </c>
      <c r="AX4" s="2" t="s">
        <v>7</v>
      </c>
      <c r="AY4" s="2">
        <v>3</v>
      </c>
      <c r="AZ4" s="2" t="s">
        <v>7</v>
      </c>
      <c r="BA4" s="2" t="s">
        <v>7</v>
      </c>
      <c r="BB4" s="2" t="s">
        <v>7</v>
      </c>
      <c r="BC4" s="2" t="s">
        <v>115</v>
      </c>
      <c r="BD4" s="2" t="s">
        <v>7</v>
      </c>
      <c r="BE4" s="7" t="s">
        <v>183</v>
      </c>
      <c r="BF4" s="7" t="s">
        <v>182</v>
      </c>
      <c r="BG4" s="3" t="s">
        <v>29</v>
      </c>
      <c r="BH4" s="3" t="s">
        <v>141</v>
      </c>
      <c r="BI4" s="2" t="s">
        <v>142</v>
      </c>
    </row>
    <row r="5" spans="1:61" x14ac:dyDescent="0.2">
      <c r="A5" s="2" t="s">
        <v>143</v>
      </c>
      <c r="B5" s="2">
        <v>25437184</v>
      </c>
      <c r="C5" s="2">
        <v>12530879</v>
      </c>
      <c r="D5" s="2" t="s">
        <v>132</v>
      </c>
      <c r="E5" s="2" t="s">
        <v>133</v>
      </c>
      <c r="F5" s="2" t="s">
        <v>91</v>
      </c>
      <c r="G5" s="2">
        <v>3291</v>
      </c>
      <c r="H5" s="2">
        <v>5085</v>
      </c>
      <c r="I5" s="2" t="s">
        <v>92</v>
      </c>
      <c r="J5" s="2" t="s">
        <v>7</v>
      </c>
      <c r="K5" s="2" t="s">
        <v>93</v>
      </c>
      <c r="L5" s="2">
        <v>83</v>
      </c>
      <c r="M5" s="2" t="s">
        <v>94</v>
      </c>
      <c r="N5" s="2">
        <v>4104</v>
      </c>
      <c r="O5" s="2" t="s">
        <v>2</v>
      </c>
      <c r="P5" s="2" t="s">
        <v>95</v>
      </c>
      <c r="Q5" s="2" t="s">
        <v>144</v>
      </c>
      <c r="R5" s="2" t="s">
        <v>97</v>
      </c>
      <c r="S5" s="2" t="s">
        <v>98</v>
      </c>
      <c r="T5" s="2">
        <v>174941609968189</v>
      </c>
      <c r="U5" s="2" t="s">
        <v>99</v>
      </c>
      <c r="V5" s="2" t="s">
        <v>100</v>
      </c>
      <c r="W5" s="2" t="s">
        <v>101</v>
      </c>
      <c r="X5" s="2">
        <v>4</v>
      </c>
      <c r="Y5" s="2" t="s">
        <v>145</v>
      </c>
      <c r="Z5" s="2" t="s">
        <v>103</v>
      </c>
      <c r="AA5" s="2" t="s">
        <v>0</v>
      </c>
      <c r="AB5" s="2" t="s">
        <v>104</v>
      </c>
      <c r="AC5" s="2" t="s">
        <v>105</v>
      </c>
      <c r="AD5" s="2" t="s">
        <v>106</v>
      </c>
      <c r="AE5" s="2" t="b">
        <v>0</v>
      </c>
      <c r="AF5" s="2" t="s">
        <v>107</v>
      </c>
      <c r="AG5" s="2" t="s">
        <v>7</v>
      </c>
      <c r="AH5" s="2" t="s">
        <v>7</v>
      </c>
      <c r="AI5" s="2" t="s">
        <v>108</v>
      </c>
      <c r="AJ5" s="2" t="s">
        <v>7</v>
      </c>
      <c r="AK5" s="2" t="s">
        <v>7</v>
      </c>
      <c r="AL5" s="2" t="s">
        <v>146</v>
      </c>
      <c r="AM5" s="2" t="b">
        <v>0</v>
      </c>
      <c r="AN5" s="2" t="s">
        <v>111</v>
      </c>
      <c r="AO5" s="2" t="s">
        <v>3</v>
      </c>
      <c r="AP5" s="2" t="s">
        <v>7</v>
      </c>
      <c r="AQ5" s="2" t="s">
        <v>7</v>
      </c>
      <c r="AR5" s="2" t="s">
        <v>7</v>
      </c>
      <c r="AS5" s="2" t="s">
        <v>112</v>
      </c>
      <c r="AT5" s="3" t="s">
        <v>30</v>
      </c>
      <c r="AU5" s="3">
        <v>55.5</v>
      </c>
      <c r="AV5" s="3" t="s">
        <v>147</v>
      </c>
      <c r="AW5" s="2" t="s">
        <v>7</v>
      </c>
      <c r="AX5" s="2" t="s">
        <v>7</v>
      </c>
      <c r="AY5" s="2" t="s">
        <v>7</v>
      </c>
      <c r="AZ5" s="2" t="s">
        <v>7</v>
      </c>
      <c r="BA5" s="2" t="s">
        <v>7</v>
      </c>
      <c r="BB5" s="2" t="s">
        <v>7</v>
      </c>
      <c r="BC5" s="2" t="s">
        <v>7</v>
      </c>
      <c r="BD5" s="2" t="s">
        <v>7</v>
      </c>
      <c r="BE5" s="7" t="s">
        <v>183</v>
      </c>
      <c r="BF5" s="7" t="s">
        <v>182</v>
      </c>
      <c r="BG5" s="3" t="s">
        <v>30</v>
      </c>
      <c r="BH5" s="3" t="s">
        <v>148</v>
      </c>
      <c r="BI5" s="2" t="s">
        <v>149</v>
      </c>
    </row>
    <row r="6" spans="1:61" x14ac:dyDescent="0.2">
      <c r="A6" s="2" t="s">
        <v>150</v>
      </c>
      <c r="B6" s="2">
        <v>25605335</v>
      </c>
      <c r="C6" s="2">
        <v>12659893</v>
      </c>
      <c r="D6" s="2" t="s">
        <v>5</v>
      </c>
      <c r="E6" s="2" t="s">
        <v>151</v>
      </c>
      <c r="F6" s="2" t="s">
        <v>91</v>
      </c>
      <c r="G6" s="2">
        <v>26615</v>
      </c>
      <c r="H6" s="2">
        <v>54641</v>
      </c>
      <c r="I6" s="2" t="s">
        <v>152</v>
      </c>
      <c r="J6" s="2" t="s">
        <v>7</v>
      </c>
      <c r="K6" s="2" t="s">
        <v>93</v>
      </c>
      <c r="L6" s="2">
        <v>83</v>
      </c>
      <c r="M6" s="2" t="s">
        <v>153</v>
      </c>
      <c r="N6" s="2">
        <v>3013</v>
      </c>
      <c r="O6" s="2" t="s">
        <v>2</v>
      </c>
      <c r="P6" s="2" t="s">
        <v>95</v>
      </c>
      <c r="Q6" s="2" t="s">
        <v>154</v>
      </c>
      <c r="R6" s="2" t="s">
        <v>155</v>
      </c>
      <c r="S6" s="2" t="s">
        <v>98</v>
      </c>
      <c r="T6" s="2">
        <v>175025358305370</v>
      </c>
      <c r="U6" s="2" t="s">
        <v>99</v>
      </c>
      <c r="V6" s="2" t="s">
        <v>156</v>
      </c>
      <c r="W6" s="2" t="s">
        <v>101</v>
      </c>
      <c r="X6" s="2">
        <v>4</v>
      </c>
      <c r="Y6" s="2" t="s">
        <v>157</v>
      </c>
      <c r="Z6" s="2" t="s">
        <v>103</v>
      </c>
      <c r="AA6" s="2" t="s">
        <v>0</v>
      </c>
      <c r="AB6" s="2" t="s">
        <v>158</v>
      </c>
      <c r="AC6" s="2" t="s">
        <v>159</v>
      </c>
      <c r="AD6" s="2" t="s">
        <v>106</v>
      </c>
      <c r="AE6" s="2" t="b">
        <v>0</v>
      </c>
      <c r="AF6" s="2" t="s">
        <v>107</v>
      </c>
      <c r="AG6" s="2" t="s">
        <v>7</v>
      </c>
      <c r="AH6" s="2" t="s">
        <v>7</v>
      </c>
      <c r="AI6" s="2" t="s">
        <v>108</v>
      </c>
      <c r="AJ6" s="2" t="s">
        <v>7</v>
      </c>
      <c r="AK6" s="2" t="s">
        <v>109</v>
      </c>
      <c r="AL6" s="2" t="s">
        <v>110</v>
      </c>
      <c r="AM6" s="2" t="b">
        <v>0</v>
      </c>
      <c r="AN6" s="2" t="s">
        <v>160</v>
      </c>
      <c r="AO6" s="2" t="s">
        <v>3</v>
      </c>
      <c r="AP6" s="2" t="s">
        <v>7</v>
      </c>
      <c r="AQ6" s="2" t="s">
        <v>7</v>
      </c>
      <c r="AR6" s="2" t="s">
        <v>7</v>
      </c>
      <c r="AS6" s="2" t="s">
        <v>112</v>
      </c>
      <c r="AT6" s="3" t="s">
        <v>31</v>
      </c>
      <c r="AU6" s="3">
        <v>288.53999999999996</v>
      </c>
      <c r="AV6" s="3" t="s">
        <v>161</v>
      </c>
      <c r="AW6" s="3" t="s">
        <v>162</v>
      </c>
      <c r="AX6" s="2" t="s">
        <v>7</v>
      </c>
      <c r="AY6" s="2">
        <v>2</v>
      </c>
      <c r="AZ6" s="2" t="s">
        <v>7</v>
      </c>
      <c r="BA6" s="2" t="s">
        <v>7</v>
      </c>
      <c r="BB6" s="2" t="s">
        <v>7</v>
      </c>
      <c r="BC6" s="2" t="s">
        <v>115</v>
      </c>
      <c r="BD6" s="2" t="s">
        <v>7</v>
      </c>
      <c r="BE6" s="7" t="s">
        <v>183</v>
      </c>
      <c r="BF6" s="7" t="s">
        <v>182</v>
      </c>
      <c r="BG6" s="3" t="s">
        <v>31</v>
      </c>
      <c r="BH6" s="3" t="s">
        <v>4</v>
      </c>
      <c r="BI6" s="2" t="s">
        <v>6</v>
      </c>
    </row>
    <row r="7" spans="1:61" x14ac:dyDescent="0.2">
      <c r="A7" s="2" t="s">
        <v>163</v>
      </c>
      <c r="B7" s="2">
        <v>25641897</v>
      </c>
      <c r="C7" s="2">
        <v>12686844</v>
      </c>
      <c r="D7" s="2" t="s">
        <v>9</v>
      </c>
      <c r="E7" s="2" t="s">
        <v>164</v>
      </c>
      <c r="F7" s="2" t="s">
        <v>91</v>
      </c>
      <c r="G7" s="2">
        <v>3291</v>
      </c>
      <c r="H7" s="2">
        <v>73265</v>
      </c>
      <c r="I7" s="2" t="s">
        <v>165</v>
      </c>
      <c r="J7" s="2" t="s">
        <v>7</v>
      </c>
      <c r="K7" s="2" t="s">
        <v>93</v>
      </c>
      <c r="L7" s="2">
        <v>83</v>
      </c>
      <c r="M7" s="2" t="s">
        <v>94</v>
      </c>
      <c r="N7" s="2">
        <v>4104</v>
      </c>
      <c r="O7" s="2" t="s">
        <v>2</v>
      </c>
      <c r="P7" s="2" t="s">
        <v>95</v>
      </c>
      <c r="Q7" s="2" t="s">
        <v>166</v>
      </c>
      <c r="R7" s="2" t="s">
        <v>167</v>
      </c>
      <c r="S7" s="2" t="s">
        <v>98</v>
      </c>
      <c r="T7" s="2">
        <v>175042863699452</v>
      </c>
      <c r="U7" s="2" t="s">
        <v>99</v>
      </c>
      <c r="V7" s="2" t="s">
        <v>156</v>
      </c>
      <c r="W7" s="2" t="s">
        <v>101</v>
      </c>
      <c r="X7" s="2">
        <v>4</v>
      </c>
      <c r="Y7" s="2" t="s">
        <v>168</v>
      </c>
      <c r="Z7" s="2" t="s">
        <v>103</v>
      </c>
      <c r="AA7" s="2" t="s">
        <v>0</v>
      </c>
      <c r="AB7" s="2" t="s">
        <v>169</v>
      </c>
      <c r="AC7" s="2" t="s">
        <v>170</v>
      </c>
      <c r="AD7" s="2" t="s">
        <v>106</v>
      </c>
      <c r="AE7" s="2" t="b">
        <v>0</v>
      </c>
      <c r="AF7" s="2" t="s">
        <v>107</v>
      </c>
      <c r="AG7" s="2" t="s">
        <v>7</v>
      </c>
      <c r="AH7" s="2" t="s">
        <v>7</v>
      </c>
      <c r="AI7" s="2" t="s">
        <v>108</v>
      </c>
      <c r="AJ7" s="2" t="s">
        <v>7</v>
      </c>
      <c r="AK7" s="2" t="s">
        <v>109</v>
      </c>
      <c r="AL7" s="2" t="s">
        <v>127</v>
      </c>
      <c r="AM7" s="2" t="b">
        <v>0</v>
      </c>
      <c r="AN7" s="2" t="s">
        <v>160</v>
      </c>
      <c r="AO7" s="2" t="s">
        <v>3</v>
      </c>
      <c r="AP7" s="2" t="s">
        <v>7</v>
      </c>
      <c r="AQ7" s="2" t="s">
        <v>7</v>
      </c>
      <c r="AR7" s="2" t="s">
        <v>7</v>
      </c>
      <c r="AS7" s="2" t="s">
        <v>112</v>
      </c>
      <c r="AT7" s="3" t="s">
        <v>32</v>
      </c>
      <c r="AU7" s="3">
        <v>27.75</v>
      </c>
      <c r="AV7" s="3" t="s">
        <v>32</v>
      </c>
      <c r="AW7" s="3" t="s">
        <v>8</v>
      </c>
      <c r="AX7" s="2" t="s">
        <v>7</v>
      </c>
      <c r="AY7" s="2">
        <v>7</v>
      </c>
      <c r="AZ7" s="2" t="s">
        <v>7</v>
      </c>
      <c r="BA7" s="2" t="s">
        <v>7</v>
      </c>
      <c r="BB7" s="2" t="s">
        <v>7</v>
      </c>
      <c r="BC7" s="2" t="s">
        <v>115</v>
      </c>
      <c r="BD7" s="2" t="s">
        <v>7</v>
      </c>
      <c r="BE7" s="7" t="s">
        <v>183</v>
      </c>
      <c r="BF7" s="7" t="s">
        <v>182</v>
      </c>
      <c r="BG7" s="3" t="s">
        <v>32</v>
      </c>
      <c r="BH7" s="3" t="s">
        <v>8</v>
      </c>
      <c r="BI7" s="2" t="s">
        <v>10</v>
      </c>
    </row>
    <row r="8" spans="1:61" x14ac:dyDescent="0.2">
      <c r="A8" s="2" t="s">
        <v>172</v>
      </c>
      <c r="B8" s="2">
        <v>25641897</v>
      </c>
      <c r="C8" s="2">
        <v>12687838</v>
      </c>
      <c r="D8" s="2" t="s">
        <v>9</v>
      </c>
      <c r="E8" s="2" t="s">
        <v>164</v>
      </c>
      <c r="F8" s="2" t="s">
        <v>91</v>
      </c>
      <c r="G8" s="2">
        <v>3291</v>
      </c>
      <c r="H8" s="2">
        <v>73265</v>
      </c>
      <c r="I8" s="2" t="s">
        <v>165</v>
      </c>
      <c r="J8" s="2" t="s">
        <v>7</v>
      </c>
      <c r="K8" s="2" t="s">
        <v>93</v>
      </c>
      <c r="L8" s="2">
        <v>83</v>
      </c>
      <c r="M8" s="2" t="s">
        <v>94</v>
      </c>
      <c r="N8" s="2">
        <v>4104</v>
      </c>
      <c r="O8" s="2" t="s">
        <v>173</v>
      </c>
      <c r="P8" s="2" t="s">
        <v>95</v>
      </c>
      <c r="Q8" s="2" t="s">
        <v>166</v>
      </c>
      <c r="R8" s="2" t="s">
        <v>167</v>
      </c>
      <c r="S8" s="2" t="s">
        <v>98</v>
      </c>
      <c r="T8" s="2" t="s">
        <v>174</v>
      </c>
      <c r="U8" s="2" t="s">
        <v>99</v>
      </c>
      <c r="V8" s="2" t="s">
        <v>156</v>
      </c>
      <c r="W8" s="2" t="s">
        <v>101</v>
      </c>
      <c r="X8" s="2">
        <v>2</v>
      </c>
      <c r="Y8" s="2" t="s">
        <v>175</v>
      </c>
      <c r="Z8" s="2" t="s">
        <v>103</v>
      </c>
      <c r="AA8" s="2" t="s">
        <v>0</v>
      </c>
      <c r="AB8" s="2" t="s">
        <v>169</v>
      </c>
      <c r="AC8" s="2" t="s">
        <v>170</v>
      </c>
      <c r="AD8" s="2" t="s">
        <v>106</v>
      </c>
      <c r="AE8" s="2" t="b">
        <v>0</v>
      </c>
      <c r="AF8" s="2" t="s">
        <v>107</v>
      </c>
      <c r="AG8" s="2" t="s">
        <v>7</v>
      </c>
      <c r="AH8" s="2" t="s">
        <v>7</v>
      </c>
      <c r="AI8" s="2" t="s">
        <v>108</v>
      </c>
      <c r="AJ8" s="2" t="s">
        <v>176</v>
      </c>
      <c r="AK8" s="2" t="s">
        <v>109</v>
      </c>
      <c r="AL8" s="2" t="s">
        <v>177</v>
      </c>
      <c r="AM8" s="2" t="b">
        <v>0</v>
      </c>
      <c r="AN8" s="2" t="s">
        <v>111</v>
      </c>
      <c r="AO8" s="2" t="s">
        <v>3</v>
      </c>
      <c r="AP8" s="2" t="s">
        <v>7</v>
      </c>
      <c r="AQ8" s="2" t="s">
        <v>7</v>
      </c>
      <c r="AR8" s="2" t="s">
        <v>7</v>
      </c>
      <c r="AS8" s="2" t="s">
        <v>112</v>
      </c>
      <c r="AT8" s="3" t="s">
        <v>171</v>
      </c>
      <c r="AU8" s="3">
        <v>0</v>
      </c>
      <c r="AV8" s="3" t="s">
        <v>171</v>
      </c>
      <c r="AW8" s="3">
        <v>0</v>
      </c>
      <c r="AX8" s="2" t="s">
        <v>7</v>
      </c>
      <c r="AY8" s="2" t="s">
        <v>7</v>
      </c>
      <c r="AZ8" s="2" t="s">
        <v>7</v>
      </c>
      <c r="BA8" s="2" t="s">
        <v>7</v>
      </c>
      <c r="BB8" s="2" t="s">
        <v>7</v>
      </c>
      <c r="BC8" s="2" t="s">
        <v>115</v>
      </c>
      <c r="BD8" s="2" t="s">
        <v>7</v>
      </c>
      <c r="BE8" s="7" t="s">
        <v>183</v>
      </c>
      <c r="BF8" s="7" t="s">
        <v>182</v>
      </c>
      <c r="BG8" s="3" t="s">
        <v>32</v>
      </c>
      <c r="BH8" s="3" t="s">
        <v>8</v>
      </c>
      <c r="BI8" s="2" t="s">
        <v>10</v>
      </c>
    </row>
  </sheetData>
  <pageMargins left="0.7" right="0.7" top="0.75" bottom="0.75" header="0.3" footer="0.3"/>
  <ignoredErrors>
    <ignoredError sqref="A2:AT2 AW1:BI1 AV2 A4:AT8 A1:AV1 A3:AT3 AV3 AV4:AV8 AW5:BD5 AW2:AX2 BG2:BI2 BG3:BI8 AX8:BD8 AZ2:BD2 AW3:AX3 AZ3:BD3 AW4:AX4 AZ4:BD4 AW7:AX7 AW6:AX6 AZ6:BD6 AZ7:B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60DB-B433-6247-B9CB-C8CF13CA52DD}">
  <dimension ref="A1:P13"/>
  <sheetViews>
    <sheetView workbookViewId="0">
      <selection activeCell="H13" sqref="H13"/>
    </sheetView>
  </sheetViews>
  <sheetFormatPr baseColWidth="10" defaultRowHeight="15" x14ac:dyDescent="0.2"/>
  <cols>
    <col min="5" max="5" width="17.5" bestFit="1" customWidth="1"/>
    <col min="6" max="6" width="17.5" customWidth="1"/>
    <col min="7" max="7" width="14.33203125" bestFit="1" customWidth="1"/>
    <col min="8" max="8" width="13.83203125" bestFit="1" customWidth="1"/>
    <col min="9" max="9" width="18.1640625" bestFit="1" customWidth="1"/>
    <col min="10" max="10" width="16.83203125" bestFit="1" customWidth="1"/>
    <col min="11" max="11" width="18.6640625" bestFit="1" customWidth="1"/>
    <col min="12" max="12" width="16.6640625" bestFit="1" customWidth="1"/>
    <col min="13" max="13" width="11.83203125" bestFit="1" customWidth="1"/>
    <col min="15" max="15" width="13.5" bestFit="1" customWidth="1"/>
    <col min="16" max="16" width="15.5" bestFit="1" customWidth="1"/>
  </cols>
  <sheetData>
    <row r="1" spans="1:16" x14ac:dyDescent="0.2">
      <c r="A1" s="5" t="s">
        <v>178</v>
      </c>
      <c r="B1" s="5" t="s">
        <v>179</v>
      </c>
      <c r="C1" t="s">
        <v>72</v>
      </c>
      <c r="D1" t="s">
        <v>73</v>
      </c>
      <c r="E1" t="s">
        <v>184</v>
      </c>
      <c r="F1" s="5" t="s">
        <v>189</v>
      </c>
      <c r="G1" t="s">
        <v>76</v>
      </c>
      <c r="H1" t="s">
        <v>185</v>
      </c>
      <c r="I1" t="s">
        <v>186</v>
      </c>
      <c r="J1" t="s">
        <v>79</v>
      </c>
      <c r="K1" t="s">
        <v>80</v>
      </c>
      <c r="L1" t="s">
        <v>81</v>
      </c>
      <c r="M1" t="s">
        <v>82</v>
      </c>
      <c r="N1" t="s">
        <v>187</v>
      </c>
      <c r="O1" t="s">
        <v>85</v>
      </c>
      <c r="P1" t="s">
        <v>188</v>
      </c>
    </row>
    <row r="2" spans="1:16" x14ac:dyDescent="0.2">
      <c r="A2">
        <v>25183238</v>
      </c>
      <c r="B2">
        <v>12328851</v>
      </c>
      <c r="C2">
        <v>7569</v>
      </c>
      <c r="D2">
        <v>76</v>
      </c>
      <c r="E2">
        <v>20</v>
      </c>
      <c r="F2">
        <f>E2</f>
        <v>20</v>
      </c>
      <c r="G2" s="5">
        <v>20.52</v>
      </c>
      <c r="M2" t="s">
        <v>115</v>
      </c>
      <c r="N2" t="s">
        <v>117</v>
      </c>
      <c r="O2" t="s">
        <v>116</v>
      </c>
    </row>
    <row r="3" spans="1:16" x14ac:dyDescent="0.2">
      <c r="A3">
        <v>25312926</v>
      </c>
      <c r="B3">
        <v>12432764</v>
      </c>
      <c r="C3">
        <v>7569</v>
      </c>
      <c r="D3">
        <v>22.09</v>
      </c>
      <c r="E3">
        <v>15</v>
      </c>
      <c r="F3">
        <f t="shared" ref="F3:F7" si="0">E3</f>
        <v>15</v>
      </c>
      <c r="G3" s="5">
        <v>5.91</v>
      </c>
      <c r="M3" t="s">
        <v>115</v>
      </c>
      <c r="N3" t="s">
        <v>117</v>
      </c>
      <c r="O3" t="s">
        <v>116</v>
      </c>
    </row>
    <row r="4" spans="1:16" x14ac:dyDescent="0.2">
      <c r="A4">
        <v>25437183</v>
      </c>
      <c r="B4">
        <v>12530873</v>
      </c>
      <c r="C4">
        <v>7569</v>
      </c>
      <c r="D4">
        <v>49</v>
      </c>
      <c r="E4">
        <v>10</v>
      </c>
      <c r="F4">
        <f t="shared" si="0"/>
        <v>10</v>
      </c>
      <c r="G4" s="5">
        <v>4.82</v>
      </c>
      <c r="M4" t="s">
        <v>115</v>
      </c>
      <c r="N4" t="s">
        <v>117</v>
      </c>
      <c r="O4" t="s">
        <v>116</v>
      </c>
    </row>
    <row r="5" spans="1:16" x14ac:dyDescent="0.2">
      <c r="A5">
        <v>25437184</v>
      </c>
      <c r="B5">
        <v>12530879</v>
      </c>
      <c r="C5">
        <v>7569</v>
      </c>
      <c r="D5">
        <v>55.5</v>
      </c>
      <c r="E5">
        <v>10</v>
      </c>
      <c r="F5">
        <f t="shared" si="0"/>
        <v>10</v>
      </c>
      <c r="G5" s="5" t="s">
        <v>7</v>
      </c>
      <c r="N5" t="s">
        <v>117</v>
      </c>
      <c r="O5" t="s">
        <v>116</v>
      </c>
    </row>
    <row r="6" spans="1:16" x14ac:dyDescent="0.2">
      <c r="A6">
        <v>25605335</v>
      </c>
      <c r="B6">
        <v>12659893</v>
      </c>
      <c r="C6">
        <v>7569</v>
      </c>
      <c r="D6">
        <v>288.54000000000002</v>
      </c>
      <c r="E6">
        <v>130</v>
      </c>
      <c r="F6">
        <f t="shared" si="0"/>
        <v>130</v>
      </c>
      <c r="G6" s="5">
        <v>3.54</v>
      </c>
      <c r="M6" t="s">
        <v>115</v>
      </c>
      <c r="N6" t="s">
        <v>117</v>
      </c>
      <c r="O6" t="s">
        <v>116</v>
      </c>
    </row>
    <row r="7" spans="1:16" x14ac:dyDescent="0.2">
      <c r="A7">
        <v>25641897</v>
      </c>
      <c r="B7">
        <v>12687838</v>
      </c>
      <c r="C7">
        <v>7569</v>
      </c>
      <c r="D7">
        <v>27.75</v>
      </c>
      <c r="E7">
        <v>27.75</v>
      </c>
      <c r="F7">
        <f t="shared" si="0"/>
        <v>27.75</v>
      </c>
      <c r="G7" s="5">
        <v>8.0500000000000007</v>
      </c>
      <c r="M7" t="s">
        <v>115</v>
      </c>
      <c r="N7" t="s">
        <v>117</v>
      </c>
      <c r="O7" t="s">
        <v>116</v>
      </c>
    </row>
    <row r="8" spans="1:16" x14ac:dyDescent="0.2">
      <c r="A8">
        <v>25183238</v>
      </c>
      <c r="B8">
        <v>12328851</v>
      </c>
      <c r="C8">
        <v>7569</v>
      </c>
      <c r="D8" s="8">
        <v>76</v>
      </c>
      <c r="E8" s="5">
        <v>76</v>
      </c>
      <c r="F8" s="5">
        <v>56</v>
      </c>
      <c r="G8" s="5">
        <v>20.52</v>
      </c>
      <c r="H8" s="6"/>
      <c r="M8" t="s">
        <v>115</v>
      </c>
      <c r="N8" s="5" t="s">
        <v>180</v>
      </c>
      <c r="O8" s="5" t="s">
        <v>181</v>
      </c>
    </row>
    <row r="9" spans="1:16" x14ac:dyDescent="0.2">
      <c r="A9">
        <v>25312926</v>
      </c>
      <c r="B9">
        <v>12432764</v>
      </c>
      <c r="C9">
        <v>7569</v>
      </c>
      <c r="D9" s="8">
        <v>22.09</v>
      </c>
      <c r="E9" s="5">
        <v>22.09</v>
      </c>
      <c r="F9" s="5">
        <v>7.09</v>
      </c>
      <c r="G9" s="5">
        <v>5.91</v>
      </c>
      <c r="H9" s="6"/>
      <c r="M9" t="s">
        <v>115</v>
      </c>
      <c r="N9" s="5" t="s">
        <v>180</v>
      </c>
      <c r="O9" s="5" t="s">
        <v>181</v>
      </c>
    </row>
    <row r="10" spans="1:16" x14ac:dyDescent="0.2">
      <c r="A10">
        <v>25437183</v>
      </c>
      <c r="B10">
        <v>12530873</v>
      </c>
      <c r="C10">
        <v>7569</v>
      </c>
      <c r="D10" s="8">
        <v>49</v>
      </c>
      <c r="E10" s="5">
        <v>49</v>
      </c>
      <c r="F10" s="5">
        <v>39</v>
      </c>
      <c r="G10" s="5">
        <v>4.82</v>
      </c>
      <c r="H10" s="6"/>
      <c r="M10" t="s">
        <v>115</v>
      </c>
      <c r="N10" s="5" t="s">
        <v>180</v>
      </c>
      <c r="O10" s="5" t="s">
        <v>181</v>
      </c>
    </row>
    <row r="11" spans="1:16" x14ac:dyDescent="0.2">
      <c r="A11">
        <v>25437184</v>
      </c>
      <c r="B11">
        <v>12530879</v>
      </c>
      <c r="C11">
        <v>7569</v>
      </c>
      <c r="D11" s="8">
        <v>55.5</v>
      </c>
      <c r="E11" s="5">
        <v>55.5</v>
      </c>
      <c r="F11" s="5">
        <v>45.5</v>
      </c>
      <c r="G11" s="5" t="s">
        <v>7</v>
      </c>
      <c r="H11" s="6"/>
      <c r="N11" s="5" t="s">
        <v>180</v>
      </c>
      <c r="O11" s="5" t="s">
        <v>181</v>
      </c>
    </row>
    <row r="12" spans="1:16" x14ac:dyDescent="0.2">
      <c r="A12">
        <v>25605335</v>
      </c>
      <c r="B12">
        <v>12659893</v>
      </c>
      <c r="C12">
        <v>7569</v>
      </c>
      <c r="D12" s="8">
        <v>288.54000000000002</v>
      </c>
      <c r="E12" s="5">
        <v>288.53999999999996</v>
      </c>
      <c r="F12" s="5">
        <v>158.54</v>
      </c>
      <c r="G12" s="5">
        <v>3.54</v>
      </c>
      <c r="H12" s="6"/>
      <c r="M12" t="s">
        <v>115</v>
      </c>
      <c r="N12" s="5" t="s">
        <v>180</v>
      </c>
      <c r="O12" s="5" t="s">
        <v>181</v>
      </c>
    </row>
    <row r="13" spans="1:16" x14ac:dyDescent="0.2">
      <c r="A13">
        <v>25641897</v>
      </c>
      <c r="B13">
        <v>12686844</v>
      </c>
      <c r="C13">
        <v>7569</v>
      </c>
      <c r="D13" s="8">
        <v>27.75</v>
      </c>
      <c r="E13" s="5">
        <v>27.75</v>
      </c>
      <c r="F13" s="5">
        <v>27.75</v>
      </c>
      <c r="G13" s="5">
        <v>8.0500000000000007</v>
      </c>
      <c r="H13" s="6"/>
      <c r="M13" t="s">
        <v>115</v>
      </c>
      <c r="N13" s="5" t="s">
        <v>180</v>
      </c>
      <c r="O13" s="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Log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2026-02-12T11:25:05Z</dcterms:modified>
</cp:coreProperties>
</file>